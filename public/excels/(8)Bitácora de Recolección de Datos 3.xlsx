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tmp" ContentType="image/png"/>
  <Override PartName="/xl/media/image4.tmp" ContentType="image/png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Ex4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5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6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6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11.xml" ContentType="application/vnd.openxmlformats-officedocument.drawing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Z:\Universidad\Materias (4°SEM) CS\Probabilidad y Estadística\"/>
    </mc:Choice>
  </mc:AlternateContent>
  <xr:revisionPtr revIDLastSave="0" documentId="8_{C3A32D66-60D9-4C87-8591-802E9EC313F8}" xr6:coauthVersionLast="47" xr6:coauthVersionMax="47" xr10:uidLastSave="{00000000-0000-0000-0000-000000000000}"/>
  <bookViews>
    <workbookView xWindow="-108" yWindow="-108" windowWidth="23256" windowHeight="13176" firstSheet="5" activeTab="5" xr2:uid="{00000000-000D-0000-FFFF-FFFF00000000}"/>
  </bookViews>
  <sheets>
    <sheet name="Respuestas de formulario 1" sheetId="1" r:id="rId1"/>
    <sheet name="Registros Válidos (Problema #1)" sheetId="19" r:id="rId2"/>
    <sheet name="Cantidad de Variables (Prob. 2)" sheetId="20" r:id="rId3"/>
    <sheet name="Pastel (P1. Problema #3)" sheetId="2" r:id="rId4"/>
    <sheet name="Barras (P1. Problema #4)" sheetId="4" r:id="rId5"/>
    <sheet name="Histogramas (P1. Problema #5)" sheetId="7" r:id="rId6"/>
    <sheet name="Caja y Bigotes (P1.Problema #6)" sheetId="14" r:id="rId7"/>
    <sheet name="Caja y Bigotes (P1.Problema #7)" sheetId="13" r:id="rId8"/>
    <sheet name="Líneas (P1. Problema #8)" sheetId="15" r:id="rId9"/>
    <sheet name="Gráficas libres (Problema #9)" sheetId="21" r:id="rId10"/>
    <sheet name="Gráfica Likert (P1.Problema#10)" sheetId="22" r:id="rId11"/>
    <sheet name="Tabla Dinámica (P2.Problema #1)" sheetId="9" r:id="rId12"/>
    <sheet name="Tabla Dinámica (P2.Problema #2)" sheetId="17" r:id="rId13"/>
    <sheet name="Tabla Dinámica (P2.Problema #3)" sheetId="11" r:id="rId14"/>
    <sheet name="Tabla Dinámica (P2.Problema #4)" sheetId="12" r:id="rId15"/>
    <sheet name="Tabla Dinámica (P2.Problema #5)" sheetId="16" r:id="rId16"/>
  </sheets>
  <definedNames>
    <definedName name="_xlchart.v1.0" hidden="1">'Histogramas (P1. Problema #5)'!$A$5</definedName>
    <definedName name="_xlchart.v1.1" hidden="1">'Histogramas (P1. Problema #5)'!$A$6:$A$354</definedName>
    <definedName name="_xlchart.v1.2" hidden="1">'Histogramas (P1. Problema #5)'!$AC$5</definedName>
    <definedName name="_xlchart.v1.3" hidden="1">'Histogramas (P1. Problema #5)'!$AC$6:$AC$354</definedName>
    <definedName name="_xlchart.v1.4" hidden="1">'Respuestas de formulario 1'!$M$2:$M$350</definedName>
    <definedName name="_xlchart.v1.5" hidden="1">'Caja y Bigotes (P1.Problema #7)'!$B$5:$B$106</definedName>
    <definedName name="_xlchart.v1.6" hidden="1">'Respuestas de formulario 1'!$N$2:$N$350</definedName>
    <definedName name="_xlchart.v1.7" hidden="1">'Caja y Bigotes (P1.Problema #7)'!$A$132:$A$480</definedName>
    <definedName name="_xlchart.v1.8" hidden="1">'Caja y Bigotes (P1.Problema #7)'!$B$131</definedName>
    <definedName name="_xlchart.v1.9" hidden="1">'Caja y Bigotes (P1.Problema #7)'!$B$132:$B$480</definedName>
  </definedNames>
  <calcPr calcId="191028"/>
  <pivotCaches>
    <pivotCache cacheId="4998" r:id="rId17"/>
    <pivotCache cacheId="4999" r:id="rId18"/>
    <pivotCache cacheId="5000" r:id="rId19"/>
    <pivotCache cacheId="5001" r:id="rId20"/>
    <pivotCache cacheId="5002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43" i="12" l="1"/>
  <c r="BF42" i="12"/>
  <c r="BF41" i="12"/>
  <c r="BF39" i="12"/>
  <c r="BF38" i="12"/>
  <c r="BF37" i="12"/>
  <c r="BF36" i="12"/>
  <c r="BF34" i="12"/>
  <c r="BF33" i="12"/>
  <c r="BF31" i="12"/>
  <c r="BF32" i="12"/>
  <c r="BF30" i="12"/>
  <c r="BF29" i="12"/>
  <c r="BF40" i="12"/>
  <c r="BF28" i="12"/>
  <c r="BF27" i="12"/>
  <c r="BF26" i="12"/>
  <c r="BF25" i="12"/>
  <c r="BF23" i="12"/>
  <c r="BF22" i="12"/>
  <c r="BF21" i="12"/>
  <c r="BF20" i="12"/>
  <c r="BF19" i="12"/>
  <c r="BF18" i="12"/>
  <c r="BF17" i="12"/>
  <c r="BF14" i="12"/>
  <c r="BF15" i="12"/>
  <c r="BF13" i="12"/>
  <c r="BF35" i="12"/>
  <c r="BF24" i="12"/>
  <c r="BF16" i="12"/>
  <c r="BF44" i="12"/>
  <c r="BF45" i="12"/>
  <c r="BF12" i="12"/>
  <c r="BF11" i="12"/>
  <c r="BF10" i="12"/>
  <c r="BF9" i="12"/>
  <c r="BF8" i="12"/>
  <c r="BF7" i="12"/>
  <c r="BF6" i="12"/>
  <c r="BF5" i="12"/>
  <c r="BF4" i="12"/>
  <c r="BV7" i="12"/>
  <c r="BV6" i="12"/>
  <c r="BV5" i="12"/>
  <c r="BV4" i="12"/>
  <c r="BR8" i="12"/>
  <c r="BR7" i="12"/>
  <c r="BR6" i="12"/>
  <c r="BR5" i="12"/>
  <c r="BR4" i="12"/>
  <c r="BN13" i="12"/>
  <c r="BN12" i="12"/>
  <c r="BN11" i="12"/>
  <c r="BN10" i="12"/>
  <c r="BN9" i="12"/>
  <c r="BN8" i="12"/>
  <c r="BN7" i="12"/>
  <c r="BN6" i="12"/>
  <c r="BN5" i="12"/>
  <c r="BN4" i="12"/>
  <c r="BJ8" i="12"/>
  <c r="BJ7" i="12"/>
  <c r="BJ6" i="12"/>
  <c r="BJ5" i="12"/>
  <c r="BJ4" i="12"/>
  <c r="BB8" i="12"/>
  <c r="BB7" i="12"/>
  <c r="BB6" i="12"/>
  <c r="BB5" i="12"/>
  <c r="BB4" i="12"/>
  <c r="BB9" i="12"/>
  <c r="AX8" i="12"/>
  <c r="AX7" i="12"/>
  <c r="AX6" i="12"/>
  <c r="AX5" i="12"/>
  <c r="AX4" i="12"/>
  <c r="AT7" i="12"/>
  <c r="AT6" i="12"/>
  <c r="AT5" i="12"/>
  <c r="AT4" i="12"/>
  <c r="AT8" i="12"/>
  <c r="AP8" i="12"/>
  <c r="AP7" i="12"/>
  <c r="AP6" i="12"/>
  <c r="AP5" i="12"/>
  <c r="AP4" i="12"/>
  <c r="AB9" i="12"/>
  <c r="AB8" i="12"/>
  <c r="AB7" i="12"/>
  <c r="AB6" i="12"/>
  <c r="AB5" i="12"/>
  <c r="AB4" i="12"/>
  <c r="AB10" i="12"/>
  <c r="X8" i="12"/>
  <c r="X7" i="12"/>
  <c r="X6" i="12"/>
  <c r="X5" i="12"/>
  <c r="X4" i="12"/>
  <c r="O7" i="12"/>
  <c r="O6" i="12"/>
  <c r="O5" i="12"/>
  <c r="O4" i="12"/>
  <c r="K4" i="12"/>
  <c r="G4" i="12"/>
  <c r="G5" i="12"/>
  <c r="B4" i="12"/>
  <c r="T4" i="12"/>
  <c r="T5" i="12"/>
  <c r="T6" i="12"/>
  <c r="T7" i="12"/>
  <c r="T8" i="12"/>
  <c r="U8" i="12"/>
  <c r="AG4" i="12"/>
  <c r="AG5" i="12"/>
  <c r="AG6" i="12"/>
  <c r="W4" i="16"/>
  <c r="V4" i="16"/>
  <c r="R4" i="16"/>
  <c r="Q4" i="16"/>
  <c r="M4" i="16"/>
  <c r="L4" i="16"/>
  <c r="H4" i="16"/>
  <c r="G4" i="16"/>
  <c r="C4" i="16"/>
  <c r="B4" i="16"/>
  <c r="AL11" i="12"/>
  <c r="AL12" i="12"/>
  <c r="AL10" i="12"/>
  <c r="AL13" i="12"/>
  <c r="AL8" i="12"/>
  <c r="AL7" i="12"/>
  <c r="AL6" i="12"/>
  <c r="AL9" i="12"/>
  <c r="AL4" i="12"/>
  <c r="AL5" i="12"/>
  <c r="AB8" i="1"/>
  <c r="AB2" i="1"/>
  <c r="AB3" i="1"/>
  <c r="AB4" i="1"/>
  <c r="AB5" i="1"/>
  <c r="AB6" i="1"/>
  <c r="AB7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BF46" i="12" l="1"/>
  <c r="BG5" i="12"/>
  <c r="BG6" i="12"/>
  <c r="BG7" i="12"/>
  <c r="BG8" i="12"/>
  <c r="BG9" i="12"/>
  <c r="BG10" i="12"/>
  <c r="BG11" i="12"/>
  <c r="BG12" i="12"/>
  <c r="BG16" i="12"/>
  <c r="BG24" i="12"/>
  <c r="BG13" i="12"/>
  <c r="BG15" i="12"/>
  <c r="BG14" i="12"/>
  <c r="BG17" i="12"/>
  <c r="BG18" i="12"/>
  <c r="BG19" i="12"/>
  <c r="BG20" i="12"/>
  <c r="BG21" i="12"/>
  <c r="BG22" i="12"/>
  <c r="BG23" i="12"/>
  <c r="BG25" i="12"/>
  <c r="AP9" i="12"/>
  <c r="AQ4" i="12" s="1"/>
  <c r="AQ5" i="12"/>
  <c r="AQ6" i="12"/>
  <c r="AQ7" i="12"/>
  <c r="AQ8" i="12"/>
  <c r="AT9" i="12"/>
  <c r="AU5" i="12"/>
  <c r="AU6" i="12"/>
  <c r="AU7" i="12"/>
  <c r="AX9" i="12"/>
  <c r="AY4" i="12" s="1"/>
  <c r="AY5" i="12"/>
  <c r="AY6" i="12"/>
  <c r="AY7" i="12"/>
  <c r="AY8" i="12"/>
  <c r="BC4" i="12"/>
  <c r="BC5" i="12"/>
  <c r="BC6" i="12"/>
  <c r="BC7" i="12"/>
  <c r="BC8" i="12"/>
  <c r="BJ9" i="12"/>
  <c r="BK4" i="12" s="1"/>
  <c r="BK5" i="12"/>
  <c r="BK6" i="12"/>
  <c r="BK7" i="12"/>
  <c r="BK8" i="12"/>
  <c r="BN14" i="12"/>
  <c r="BO4" i="12" s="1"/>
  <c r="BO5" i="12"/>
  <c r="BO6" i="12"/>
  <c r="BO7" i="12"/>
  <c r="BO8" i="12"/>
  <c r="BO9" i="12"/>
  <c r="BO10" i="12"/>
  <c r="BO11" i="12"/>
  <c r="BO12" i="12"/>
  <c r="BO13" i="12"/>
  <c r="BR9" i="12"/>
  <c r="BS4" i="12" s="1"/>
  <c r="BS5" i="12"/>
  <c r="BS6" i="12"/>
  <c r="BS7" i="12"/>
  <c r="BS8" i="12"/>
  <c r="BV8" i="12"/>
  <c r="BW4" i="12" s="1"/>
  <c r="BW5" i="12"/>
  <c r="BW6" i="12"/>
  <c r="BW7" i="12"/>
  <c r="AC4" i="12"/>
  <c r="AC5" i="12"/>
  <c r="AC6" i="12"/>
  <c r="AC7" i="12"/>
  <c r="AC8" i="12"/>
  <c r="AC9" i="12"/>
  <c r="X9" i="12"/>
  <c r="Y4" i="12" s="1"/>
  <c r="Y5" i="12"/>
  <c r="Y6" i="12"/>
  <c r="Y7" i="12"/>
  <c r="Y8" i="12"/>
  <c r="K5" i="12"/>
  <c r="L4" i="12" s="1"/>
  <c r="L5" i="12" s="1"/>
  <c r="O8" i="12"/>
  <c r="P4" i="12" s="1"/>
  <c r="P5" i="12"/>
  <c r="P6" i="12"/>
  <c r="P7" i="12"/>
  <c r="B5" i="12"/>
  <c r="C4" i="12" s="1"/>
  <c r="C5" i="12" s="1"/>
  <c r="H4" i="12"/>
  <c r="H5" i="12" s="1"/>
  <c r="U4" i="12"/>
  <c r="U5" i="12"/>
  <c r="U6" i="12"/>
  <c r="U7" i="12"/>
  <c r="AH4" i="12"/>
  <c r="AH5" i="12"/>
  <c r="AL14" i="12"/>
  <c r="AM9" i="12"/>
  <c r="AM6" i="12"/>
  <c r="AM7" i="12"/>
  <c r="AM8" i="12"/>
  <c r="AM13" i="12"/>
  <c r="AM10" i="12"/>
  <c r="AM12" i="12"/>
  <c r="AM11" i="12"/>
  <c r="I4" i="16"/>
  <c r="X4" i="16"/>
  <c r="S4" i="16"/>
  <c r="N4" i="16"/>
  <c r="D4" i="16"/>
  <c r="BG4" i="12" l="1"/>
  <c r="BG45" i="12"/>
  <c r="BG44" i="12"/>
  <c r="BG35" i="12"/>
  <c r="BG26" i="12"/>
  <c r="BG27" i="12"/>
  <c r="BG28" i="12"/>
  <c r="BG40" i="12"/>
  <c r="BG29" i="12"/>
  <c r="BG30" i="12"/>
  <c r="BG32" i="12"/>
  <c r="BG31" i="12"/>
  <c r="BG33" i="12"/>
  <c r="BG34" i="12"/>
  <c r="BG36" i="12"/>
  <c r="BG37" i="12"/>
  <c r="BG38" i="12"/>
  <c r="BG39" i="12"/>
  <c r="BG41" i="12"/>
  <c r="BG42" i="12"/>
  <c r="BG43" i="12"/>
  <c r="BW8" i="12"/>
  <c r="BS9" i="12"/>
  <c r="BO14" i="12"/>
  <c r="BK9" i="12"/>
  <c r="BC9" i="12"/>
  <c r="AY9" i="12"/>
  <c r="AU8" i="12"/>
  <c r="AU4" i="12"/>
  <c r="AU9" i="12" s="1"/>
  <c r="AQ9" i="12"/>
  <c r="AC10" i="12"/>
  <c r="Y9" i="12"/>
  <c r="P8" i="12"/>
  <c r="AH6" i="12"/>
  <c r="AM5" i="12"/>
  <c r="AM4" i="12"/>
  <c r="AM14" i="12" s="1"/>
  <c r="BG46" i="12" l="1"/>
</calcChain>
</file>

<file path=xl/sharedStrings.xml><?xml version="1.0" encoding="utf-8"?>
<sst xmlns="http://schemas.openxmlformats.org/spreadsheetml/2006/main" count="7464" uniqueCount="664">
  <si>
    <t>Marca Temporal</t>
  </si>
  <si>
    <t>Correo Electrónico</t>
  </si>
  <si>
    <t>Consentimiento</t>
  </si>
  <si>
    <t>Estudiante de la UTP</t>
  </si>
  <si>
    <t>Facultad</t>
  </si>
  <si>
    <t>Encuestador</t>
  </si>
  <si>
    <t>Género</t>
  </si>
  <si>
    <t>Edad</t>
  </si>
  <si>
    <t>Provincia o Comarca</t>
  </si>
  <si>
    <t>Carrera</t>
  </si>
  <si>
    <t>Conocimiento del término</t>
  </si>
  <si>
    <t>Fuente de Conocimiento</t>
  </si>
  <si>
    <t>Nivel de Conocimiento</t>
  </si>
  <si>
    <t>Familiaridad</t>
  </si>
  <si>
    <t>Tiempo de Estudio</t>
  </si>
  <si>
    <t>Cursos Realizados</t>
  </si>
  <si>
    <t>Interés en Aprender</t>
  </si>
  <si>
    <t>Interés en Participar</t>
  </si>
  <si>
    <t>Área de Interés</t>
  </si>
  <si>
    <t>Dedicación Semanal</t>
  </si>
  <si>
    <t>Actividades Extracurriculares</t>
  </si>
  <si>
    <t>Impacto Futuro</t>
  </si>
  <si>
    <t>Accesibilidad</t>
  </si>
  <si>
    <t>Integración Universitaria</t>
  </si>
  <si>
    <t>Beneficios</t>
  </si>
  <si>
    <t>Disposición a Invertir</t>
  </si>
  <si>
    <t>Desafíos</t>
  </si>
  <si>
    <t>Fecha</t>
  </si>
  <si>
    <t>barragananalaura6@gmail.com</t>
  </si>
  <si>
    <t>Sí, acepto participar y doy mi consentimiento.</t>
  </si>
  <si>
    <t>Sí ✅</t>
  </si>
  <si>
    <t>Facultad de Ingeniería de Sistemas Computacionales</t>
  </si>
  <si>
    <t>Juan Diego Hernández</t>
  </si>
  <si>
    <t>Femenino 🙋‍♀️</t>
  </si>
  <si>
    <t>Panamá</t>
  </si>
  <si>
    <t>Ingeniería en Ciberseguridad</t>
  </si>
  <si>
    <t>Sí</t>
  </si>
  <si>
    <t>Por interés propio / autoaprendizaje</t>
  </si>
  <si>
    <t>Aplicaciones Industriales (IA, Criptografía, Optimizacion)</t>
  </si>
  <si>
    <t>Entre 4 y 6 horas</t>
  </si>
  <si>
    <t>Es prematuro introducirla</t>
  </si>
  <si>
    <t>Mejora en la Educación Universitaria</t>
  </si>
  <si>
    <t>Falta de Personal Capacitado, Desconocimiento General del Tema</t>
  </si>
  <si>
    <t>luisanguerra10@gmail.com</t>
  </si>
  <si>
    <t>Jean Carlos Guillén</t>
  </si>
  <si>
    <t>Panamá Oeste</t>
  </si>
  <si>
    <t>Ingeniería de Software</t>
  </si>
  <si>
    <t>En esta encuesta 😅</t>
  </si>
  <si>
    <t>Programación y Desarrollo de Algoritmos Cuánticos</t>
  </si>
  <si>
    <t>Entre 1 y 3 horas</t>
  </si>
  <si>
    <t>Es el momento adecuado</t>
  </si>
  <si>
    <t>Falta de Personal Capacitado, Falta de Recursos Tecnológicos o Equipos, Limitaciones en los Planes de Estudio</t>
  </si>
  <si>
    <t>diegoqtr77@gmail.com</t>
  </si>
  <si>
    <t>Jade Gutiérrez</t>
  </si>
  <si>
    <t>Masculino 🙋‍♂️</t>
  </si>
  <si>
    <t>Programación y Desarrollo de Algoritmos Cuánticos, Hardware Cuántico</t>
  </si>
  <si>
    <t>Mejora en la Educación Universitaria, Generación de Empleo Especializado</t>
  </si>
  <si>
    <t>Falta de Personal Capacitado, Altos Costos de Implementación</t>
  </si>
  <si>
    <t>jon.caballero.dev@gmail.com</t>
  </si>
  <si>
    <t>Física y Fundamentos Teóricos, Aplicaciones Industriales (IA, Criptografía, Optimizacion), Educación y Divulgación Científica</t>
  </si>
  <si>
    <t>No es necesario</t>
  </si>
  <si>
    <t>Impulso a la Innovación Científica y Tecnológica, Mejora en la Educación Universitaria, Desarrollo de Nuevas Industrias (IA, Criptografía, Materiales)</t>
  </si>
  <si>
    <t>Falta de Personal Capacitado, Limitaciones en los Planes de Estudio, Altos Costos de Implementación, Desconocimiento General del Tema</t>
  </si>
  <si>
    <t>ely.mendez01@gmail.com</t>
  </si>
  <si>
    <t>Ingeniería en Sistemas</t>
  </si>
  <si>
    <t>Impulso a la Innovación Científica y Tecnológica, Desarrollo de Nuevas Industrias (IA, Criptografía, Materiales)</t>
  </si>
  <si>
    <t>Falta de Personal Capacitado, Escaso Interés Estudiantil</t>
  </si>
  <si>
    <t>diegomdz22@gmail.com</t>
  </si>
  <si>
    <t>En la universidad</t>
  </si>
  <si>
    <t>Es urgente hacerlo</t>
  </si>
  <si>
    <t>Atracción de Inversión Extranjera, Desarrollo de Nuevas Industrias (IA, Criptografía, Materiales)</t>
  </si>
  <si>
    <t>Falta de Personal Capacitado, Falta de Recursos Tecnológicos o Equipos, Escaso Interés Estudiantil</t>
  </si>
  <si>
    <t>juanma_ortiz17@gmail.com</t>
  </si>
  <si>
    <t>Helicoptero de ataque :v</t>
  </si>
  <si>
    <t>En redes sociales</t>
  </si>
  <si>
    <t>Física y Fundamentos Teóricos, Aplicaciones Industriales (IA, Criptografía, Optimizacion)</t>
  </si>
  <si>
    <t>Desarrollo de Nuevas Industrias (IA, Criptografía, Materiales), Generación de Empleo Especializado</t>
  </si>
  <si>
    <t>Falta de Recursos Tecnológicos o Equipos, Altos Costos de Implementación</t>
  </si>
  <si>
    <t>correasebastian917@gmail.com</t>
  </si>
  <si>
    <t>Ingeniería en Ciencias de la Computación</t>
  </si>
  <si>
    <t>Física y Fundamentos Teóricos</t>
  </si>
  <si>
    <t>Menos de 1 hora</t>
  </si>
  <si>
    <t>Impulso a la Innovación Científica y Tecnológica</t>
  </si>
  <si>
    <t>Falta de Recursos Tecnológicos o Equipos</t>
  </si>
  <si>
    <t>dianaguz97@gmail.com</t>
  </si>
  <si>
    <t>Luis Lee</t>
  </si>
  <si>
    <t>Programación y Desarrollo de Algoritmos Cuánticos, Educación y Divulgación Científica</t>
  </si>
  <si>
    <t>Limitaciones en los Planes de Estudio</t>
  </si>
  <si>
    <t>danielaa_rz@gmail.com</t>
  </si>
  <si>
    <t>Ingeniería en Informática Aplicada a la Educación</t>
  </si>
  <si>
    <t>No</t>
  </si>
  <si>
    <t>Educación y Divulgación Científica</t>
  </si>
  <si>
    <t>Falta de Recursos Tecnológicos o Equipos, Limitaciones en los Planes de Estudio, Altos Costos de Implementación</t>
  </si>
  <si>
    <t>ameth07max@gmail.com</t>
  </si>
  <si>
    <t>Entre 7 y 10 horas</t>
  </si>
  <si>
    <t>Impulso a la Innovación Científica y Tecnológica, Mejora en la Educación Universitaria, Atracción de Inversión Extranjera, Desarrollo de Nuevas Industrias (IA, Criptografía, Materiales), Generación de Empleo Especializado</t>
  </si>
  <si>
    <t>barriosangelineee@gmail.com</t>
  </si>
  <si>
    <t>Mejora en la Educación Universitaria, Atracción de Inversión Extranjera</t>
  </si>
  <si>
    <t>calebchiary@gmail.com</t>
  </si>
  <si>
    <t>Colón</t>
  </si>
  <si>
    <t>En otros medios de comunicación</t>
  </si>
  <si>
    <t>Programación y Desarrollo de Algoritmos Cuánticos, Hardware Cuántico, Física y Fundamentos Teóricos, Aplicaciones Industriales (IA, Criptografía, Optimizacion)</t>
  </si>
  <si>
    <t>Más de 10 horas</t>
  </si>
  <si>
    <t>Impulso a la Innovación Científica y Tecnológica, Mejora en la Educación Universitaria, Atracción de Inversión Extranjera, Desarrollo de Nuevas Industrias (IA, Criptografía, Materiales), Generación de Empleo Especializado, Capaz lleguen empresas como Microsoft, Intel, IBM, Google a Panamá</t>
  </si>
  <si>
    <t>Falta de Recursos Tecnológicos o Equipos, Altos Costos de Implementación, Desconocimiento General del Tema</t>
  </si>
  <si>
    <t>misael12042003@outlook.com</t>
  </si>
  <si>
    <t>Impulso a la Innovación Científica y Tecnológica, Mejora en la Educación Universitaria</t>
  </si>
  <si>
    <t>josem_est97@gmail.com</t>
  </si>
  <si>
    <t>Ingeniería en Redes Informáticas</t>
  </si>
  <si>
    <t>Impulso a la Innovación Científica y Tecnológica, Mejora en la Educación Universitaria, Desarrollo de Nuevas Industrias (IA, Criptografía, Materiales), Generación de Empleo Especializado</t>
  </si>
  <si>
    <t>mafer.celisx@gmail.com</t>
  </si>
  <si>
    <t>Altos Costos de Implementación</t>
  </si>
  <si>
    <t>devgamer1188@gmail.com</t>
  </si>
  <si>
    <t>En cursos o conferencias</t>
  </si>
  <si>
    <t>Falta de Personal Capacitado, Falta de Recursos Tecnológicos o Equipos</t>
  </si>
  <si>
    <t>matias.campbell94@gmail.com</t>
  </si>
  <si>
    <t>Falta de Personal Capacitado, Escaso Interés Estudiantil, Desconocimiento General del Tema</t>
  </si>
  <si>
    <t>cristina_flores89@gmail.com</t>
  </si>
  <si>
    <t>Impulso a la Innovación Científica y Tecnológica, Desarrollo de Nuevas Industrias (IA, Criptografía, Materiales), Generación de Empleo Especializado</t>
  </si>
  <si>
    <t>Falta de Personal Capacitado, Escaso Interés Estudiantil, Altos Costos de Implementación, Desconocimiento General del Tema</t>
  </si>
  <si>
    <t>nath_rosales03@gmail.com</t>
  </si>
  <si>
    <t>Física y Fundamentos Teóricos, Educación y Divulgación Científica</t>
  </si>
  <si>
    <t>Falta de Personal Capacitado</t>
  </si>
  <si>
    <t>angielopez02@gmail.com</t>
  </si>
  <si>
    <t>darioest98@gmail.com</t>
  </si>
  <si>
    <t>Programación y Desarrollo de Algoritmos Cuánticos, Hardware Cuántico, Física y Fundamentos Teóricos</t>
  </si>
  <si>
    <t>mariana_tello24@gmail.com</t>
  </si>
  <si>
    <t>Programación y Desarrollo de Algoritmos Cuánticos, Física y Fundamentos Teóricos</t>
  </si>
  <si>
    <t>Falta de Personal Capacitado, Falta de Recursos Tecnológicos o Equipos, Limitaciones en los Planes de Estudio, Altos Costos de Implementación</t>
  </si>
  <si>
    <t>roberx.castillo@gmail.com</t>
  </si>
  <si>
    <t>Programación y Desarrollo de Algoritmos Cuánticos, Física y Fundamentos Teóricos, Educación y Divulgación Científica</t>
  </si>
  <si>
    <t>sara.ros06@gmail.com</t>
  </si>
  <si>
    <t>Programación y Desarrollo de Algoritmos Cuánticos, Aplicaciones Industriales (IA, Criptografía, Optimizacion), Educación y Divulgación Científica</t>
  </si>
  <si>
    <t>Impulso a la Innovación Científica y Tecnológica, Generación de Empleo Especializado</t>
  </si>
  <si>
    <t>karol.cedeno13@gmail.com</t>
  </si>
  <si>
    <t>Aplicaciones Industriales (IA, Criptografía, Optimizacion), Educación y Divulgación Científica</t>
  </si>
  <si>
    <t>andy_murillo24@gmail.com</t>
  </si>
  <si>
    <t>Escaso Interés Estudiantil, Limitaciones en los Planes de Estudio, Altos Costos de Implementación</t>
  </si>
  <si>
    <t>carlitos_arias@gmail.com</t>
  </si>
  <si>
    <t>Falta de Personal Capacitado, Falta de Recursos Tecnológicos o Equipos, Desconocimiento General del Tema</t>
  </si>
  <si>
    <t>paolamanjarrez519@gmail.com</t>
  </si>
  <si>
    <t>Programación y Desarrollo de Algoritmos Cuánticos, Aplicaciones Industriales (IA, Criptografía, Optimizacion)</t>
  </si>
  <si>
    <t>Falta de Personal Capacitado, Falta de Recursos Tecnológicos o Equipos, Altos Costos de Implementación, Desconocimiento General del Tema</t>
  </si>
  <si>
    <t>ruth.aquino@gmail.com</t>
  </si>
  <si>
    <t>Impulso a la Innovación Científica y Tecnológica, Atracción de Inversión Extranjera, Desarrollo de Nuevas Industrias (IA, Criptografía, Materiales), Generación de Empleo Especializado</t>
  </si>
  <si>
    <t>sofia.montez94@gmail.com</t>
  </si>
  <si>
    <t>Programación y Desarrollo de Algoritmos Cuánticos, Física y Fundamentos Teóricos, Aplicaciones Industriales (IA, Criptografía, Optimizacion)</t>
  </si>
  <si>
    <t>Falta de Personal Capacitado, Altos Costos de Implementación, Desconocimiento General del Tema</t>
  </si>
  <si>
    <t>denivg92@gmail.com</t>
  </si>
  <si>
    <t>Prefiero no decirlo.</t>
  </si>
  <si>
    <t>lourdes.vasquez91@gmail.com</t>
  </si>
  <si>
    <t>mayra.crrds20@gmail.com</t>
  </si>
  <si>
    <t>dario_sanmartin07@gmail.com</t>
  </si>
  <si>
    <t>isabel.toro14@gmail.com</t>
  </si>
  <si>
    <t>Escaso Interés Estudiantil</t>
  </si>
  <si>
    <t>natyvlz20@gmail.com</t>
  </si>
  <si>
    <t>emilionm22@gmail.com</t>
  </si>
  <si>
    <t>Desconocimiento General del Tema</t>
  </si>
  <si>
    <t>evelyn_montoya20@gmail.com</t>
  </si>
  <si>
    <t>danelisdgtrz23@gmail.com</t>
  </si>
  <si>
    <t>yesflores22@gmail.com</t>
  </si>
  <si>
    <t>kat_lopezz99@gmail.com</t>
  </si>
  <si>
    <t>No sabría decirte  :3</t>
  </si>
  <si>
    <t>Tendría que investigar más sobre eso para responder esta pregunta :'(</t>
  </si>
  <si>
    <t>:'(</t>
  </si>
  <si>
    <t>oscar.moralesc90@gmail.com</t>
  </si>
  <si>
    <t>Impulso a la Innovación Científica y Tecnológica, Mejora en la Educación Universitaria, Atracción de Inversión Extranjera, Desarrollo de Nuevas Industrias (IA, Criptografía, Materiales)</t>
  </si>
  <si>
    <t>Escaso Interés Estudiantil, Limitaciones en los Planes de Estudio</t>
  </si>
  <si>
    <t>samurivera94@gmail.com</t>
  </si>
  <si>
    <t>jesusd.m1608@gmail.com</t>
  </si>
  <si>
    <t>..</t>
  </si>
  <si>
    <t xml:space="preserve">Que te puedo decir </t>
  </si>
  <si>
    <t>Ni idea</t>
  </si>
  <si>
    <t>estebanluna_12@gmail.com</t>
  </si>
  <si>
    <t>Falta de Personal Capacitado, Falta de Recursos Tecnológicos o Equipos, Escaso Interés Estudiantil, Limitaciones en los Planes de Estudio, Altos Costos de Implementación</t>
  </si>
  <si>
    <t>franklin.davila07@gmail.com</t>
  </si>
  <si>
    <t xml:space="preserve">Solo ayudo a la encuesta </t>
  </si>
  <si>
    <t>Generación de Empleo Especializado</t>
  </si>
  <si>
    <t>Escaso Interés Estudiantil, Limitaciones en los Planes de Estudio, Desconocimiento General del Tema</t>
  </si>
  <si>
    <t>hectorav_03@gmail.com</t>
  </si>
  <si>
    <t>No sé</t>
  </si>
  <si>
    <t>Atracción de Inversión Extranjera</t>
  </si>
  <si>
    <t>valentina.ariasz@gmail.com</t>
  </si>
  <si>
    <t>Deudas</t>
  </si>
  <si>
    <t>Falta de Recursos Tecnológicos o Equipos, Limitaciones en los Planes de Estudio, Altos Costos de Implementación, Desconocimiento General del Tema</t>
  </si>
  <si>
    <t>sebastian_rp18@gmail.com</t>
  </si>
  <si>
    <t>nada</t>
  </si>
  <si>
    <t>eliz.rivero8@gmail.com</t>
  </si>
  <si>
    <t>Nada</t>
  </si>
  <si>
    <t>lizbeth.castro96@gmail.com</t>
  </si>
  <si>
    <t>Falta de Personal Capacitado, Falta de Recursos Tecnológicos o Equipos, Escaso Interés Estudiantil, Limitaciones en los Planes de Estudio, Altos Costos de Implementación, Desconocimiento General del Tema</t>
  </si>
  <si>
    <t>eloya.gomezr@gmail.com</t>
  </si>
  <si>
    <t>Hardware Cuántico</t>
  </si>
  <si>
    <t>dannitab09@gmail.com</t>
  </si>
  <si>
    <t>amirpineda079@gmail.com</t>
  </si>
  <si>
    <t>Escaso Interés Estudiantil, Altos Costos de Implementación, Desconocimiento General del Tema</t>
  </si>
  <si>
    <t>juandota14@gmail.com</t>
  </si>
  <si>
    <t>Falta de Personal Capacitado, Falta de Recursos Tecnológicos o Equipos, Altos Costos de Implementación</t>
  </si>
  <si>
    <t>robertosudo09@gmail.com</t>
  </si>
  <si>
    <t>Impulso a la Innovación Científica y Tecnológica, Mejora en la Educación Universitaria, Atracción de Inversión Extranjera</t>
  </si>
  <si>
    <t>angelcruzlasso@gmail.com</t>
  </si>
  <si>
    <t>Impulso a la Innovación Científica y Tecnológica, Atracción de Inversión Extranjera, Desarrollo de Nuevas Industrias (IA, Criptografía, Materiales)</t>
  </si>
  <si>
    <t>Altos Costos de Implementación, Desconocimiento General del Tema</t>
  </si>
  <si>
    <t>mofe308@gmail.com</t>
  </si>
  <si>
    <t>dianaferxr@gmail.com</t>
  </si>
  <si>
    <t>marco.valdes01@gmail.com</t>
  </si>
  <si>
    <t>raquel_torresx@gmail.com</t>
  </si>
  <si>
    <t>Hardware Cuántico, Física y Fundamentos Teóricos</t>
  </si>
  <si>
    <t>carmenperez88@gmail.com</t>
  </si>
  <si>
    <t>emilia_soto09@gmail.com</t>
  </si>
  <si>
    <t>jcpanama031@gmail.com</t>
  </si>
  <si>
    <t>oscarlinarezp@gmail.com</t>
  </si>
  <si>
    <t>claudixr@hotmail.com</t>
  </si>
  <si>
    <t>Falta de Recursos Tecnológicos o Equipos, Desconocimiento General del Tema</t>
  </si>
  <si>
    <t>elizabet.romo21@gmail.com</t>
  </si>
  <si>
    <t>Falta de Personal Capacitado, Falta de Recursos Tecnológicos o Equipos, Limitaciones en los Planes de Estudio, Altos Costos de Implementación, Desconocimiento General del Tema</t>
  </si>
  <si>
    <t>javiergaitanx@gmail.com</t>
  </si>
  <si>
    <t>Impulso a la Innovación Científica y Tecnológica, Mejora en la Educación Universitaria, Generación de Empleo Especializado</t>
  </si>
  <si>
    <t>jepmendez@gmail.com</t>
  </si>
  <si>
    <t>Escaso Interés Estudiantil, Desconocimiento General del Tema</t>
  </si>
  <si>
    <t>johana.justinianii@gmail.com</t>
  </si>
  <si>
    <t>melina_ortz08@gmail.com</t>
  </si>
  <si>
    <t>franklinhdez1@gmail.com</t>
  </si>
  <si>
    <t>jonatan.espinoza23@gmail.com</t>
  </si>
  <si>
    <t>fabyg_2001@gmail.com</t>
  </si>
  <si>
    <t>Criptografía cuántica</t>
  </si>
  <si>
    <t>jonel.garcia17@gmail.com</t>
  </si>
  <si>
    <t>yamilka_estrada@gmail.com</t>
  </si>
  <si>
    <t>genesis_moreno@gmail.com</t>
  </si>
  <si>
    <t>francy.vlz23@gmail.com</t>
  </si>
  <si>
    <t>migs.rodriz@gmail.con</t>
  </si>
  <si>
    <t>Impulso a la Innovación Científica y Tecnológica, Atracción de Inversión Extranjera</t>
  </si>
  <si>
    <t>abigail.romerog@gmail.com</t>
  </si>
  <si>
    <t>patriciaflores19@gmail.com</t>
  </si>
  <si>
    <t>miri.rodr09@gmail.com</t>
  </si>
  <si>
    <t>paolav_fern@gmail.com</t>
  </si>
  <si>
    <t>nayelis_perez07@gmail.com</t>
  </si>
  <si>
    <t>tomy_sanchez07@gmail.com</t>
  </si>
  <si>
    <t>samuelarosemena@gmail.com</t>
  </si>
  <si>
    <t>yorgeliskloo20@gmail.com</t>
  </si>
  <si>
    <t>galib.lopez@utp.ac.pa</t>
  </si>
  <si>
    <t>Impulso a la Innovación Científica y Tecnológica, Atracción de Inversión Extranjera, Generación de Empleo Especializado</t>
  </si>
  <si>
    <t>Falta de Recursos Tecnológicos o Equipos, Escaso Interés Estudiantil, Altos Costos de Implementación, Desconocimiento General del Tema</t>
  </si>
  <si>
    <t>alejoVera96@gmail.com</t>
  </si>
  <si>
    <t>vale.pchecox@gmail.com</t>
  </si>
  <si>
    <t>jafethguevara507@gmail.com</t>
  </si>
  <si>
    <t>...</t>
  </si>
  <si>
    <t>No c</t>
  </si>
  <si>
    <t>carlihinojosa@gmail.com</t>
  </si>
  <si>
    <t>Programación y Desarrollo de Algoritmos Cuánticos, Hardware Cuántico, Aplicaciones Industriales (IA, Criptografía, Optimizacion)</t>
  </si>
  <si>
    <t>Falta de Personal Capacitado, Falta de Recursos Tecnológicos o Equipos, Escaso Interés Estudiantil, Altos Costos de Implementación</t>
  </si>
  <si>
    <t>gustavo.hr21@gmail.com</t>
  </si>
  <si>
    <t>Falta de Personal Capacitado, Falta de Recursos Tecnológicos o Equipos, Escaso Interés Estudiantil, Limitaciones en los Planes de Estudio</t>
  </si>
  <si>
    <t>estebanmz93@gmail.com</t>
  </si>
  <si>
    <t>Falta de Personal Capacitado, Falta de Recursos Tecnológicos o Equipos, Escaso Interés Estudiantil, Limitaciones en los Planes de Estudio, Desconocimiento General del Tema</t>
  </si>
  <si>
    <t>valeriahdez_11@gmail.com</t>
  </si>
  <si>
    <t>yule_vargas05@gmail.com</t>
  </si>
  <si>
    <t>oscarblandn@gmail.com</t>
  </si>
  <si>
    <t>javierzapatax@gmail.com</t>
  </si>
  <si>
    <t>Programación y Desarrollo de Algoritmos Cuánticos, Hardware Cuántico, Física y Fundamentos Teóricos, Aplicaciones Industriales (IA, Criptografía, Optimizacion), Educación y Divulgación Científica</t>
  </si>
  <si>
    <t>Limitaciones en los Planes de Estudio, Desconocimiento General del Tema</t>
  </si>
  <si>
    <t>alvarocx07@gmail.com</t>
  </si>
  <si>
    <t>Impulso a la Innovación Científica y Tecnológica, Mejora en la Educación Universitaria, Atracción de Inversión Extranjera, Generación de Empleo Especializado</t>
  </si>
  <si>
    <t>je8665276@gmail.com</t>
  </si>
  <si>
    <t>mariana.dominguez02@gmail.com</t>
  </si>
  <si>
    <t>jafethguevara04@gmail.com</t>
  </si>
  <si>
    <t>eliana.batista93@gmail.com</t>
  </si>
  <si>
    <t>santiovz04@gmail.com</t>
  </si>
  <si>
    <t>michel_pacheco19@gmail.com</t>
  </si>
  <si>
    <t>jonas.sanmartin@gmail.com</t>
  </si>
  <si>
    <t>Falta de Recursos Tecnológicos o Equipos, Limitaciones en los Planes de Estudio</t>
  </si>
  <si>
    <t>arielcp01@gmail.com</t>
  </si>
  <si>
    <t>Desarrollo de Nuevas Industrias (IA, Criptografía, Materiales)</t>
  </si>
  <si>
    <t>jhoanxgarcia@gmail.com</t>
  </si>
  <si>
    <t>crislarissa07@gmail.com</t>
  </si>
  <si>
    <t>Atracción de Inversión Extranjera, Generación de Empleo Especializado</t>
  </si>
  <si>
    <t>18daryelissanchez@gmail.com</t>
  </si>
  <si>
    <t>Falta de Personal Capacitado, Falta de Recursos Tecnológicos o Equipos, Limitaciones en los Planes de Estudio, Desconocimiento General del Tema</t>
  </si>
  <si>
    <t>jimenezeilen213@gmail.com</t>
  </si>
  <si>
    <t>Impulso a la Innovación Científica y Tecnológica, Mejora en la Educación Universitaria, Atracción de Inversión Extranjera, Desarrollo de Nuevas Industrias (IA, Criptografía, Materiales), Generación de Empleo Especializado, Podríamos dejar de ser conocidos solamente por el Canal y el turismo</t>
  </si>
  <si>
    <t>beirabarria8@gmail.com</t>
  </si>
  <si>
    <t>ruizkate510@gmail.com</t>
  </si>
  <si>
    <t>rich.mrtnz21@gmail.com</t>
  </si>
  <si>
    <t>por mi papá</t>
  </si>
  <si>
    <t>daniel.torreszx@gmail.com</t>
  </si>
  <si>
    <t>Limitaciones en los Planes de Estudio, Altos Costos de Implementación</t>
  </si>
  <si>
    <t>rodrigo.mesa07@gmail.com</t>
  </si>
  <si>
    <t>andyx.jimenez@gmail.com</t>
  </si>
  <si>
    <t>Falta de Personal Capacitado, Escaso Interés Estudiantil, Limitaciones en los Planes de Estudio</t>
  </si>
  <si>
    <t>hector.mdz05@gmail.com</t>
  </si>
  <si>
    <t>manuel_cordero13@gmail.com</t>
  </si>
  <si>
    <t>Falta de Personal Capacitado, Limitaciones en los Planes de Estudio, Desconocimiento General del Tema</t>
  </si>
  <si>
    <t>claraestela412@gmail.com</t>
  </si>
  <si>
    <t>pedro_santana20@gmail.com</t>
  </si>
  <si>
    <t>darlene_guerra01@gmail.com</t>
  </si>
  <si>
    <t>Hardware Cuántico, Educación y Divulgación Científica</t>
  </si>
  <si>
    <t>joselyn.torresl@gmail.com</t>
  </si>
  <si>
    <t>rodri.alv07@gmail.com</t>
  </si>
  <si>
    <t>pabloor_24@gmail.com</t>
  </si>
  <si>
    <t>cristopher_juarez@gmail.com</t>
  </si>
  <si>
    <t>caty_patricia@gmail.com</t>
  </si>
  <si>
    <t>mailto.gparedez14@gmail.com</t>
  </si>
  <si>
    <t>diego.moreno06@gmail.com</t>
  </si>
  <si>
    <t>katya_hernandez@gmail.com</t>
  </si>
  <si>
    <t>carolyn_vega02@gmail.com</t>
  </si>
  <si>
    <t>karina.beltran@gmail.com</t>
  </si>
  <si>
    <t>edisram99@gmail.com</t>
  </si>
  <si>
    <t>cd2036755@gmail.com</t>
  </si>
  <si>
    <t>jenniferagudelo@mail.com</t>
  </si>
  <si>
    <t>maylen.perez@gmail.com</t>
  </si>
  <si>
    <t>luisfer_acev@gmail.com</t>
  </si>
  <si>
    <t>andrea.moncada95@gmail.com</t>
  </si>
  <si>
    <t>pablojjjj2612@gmail.com</t>
  </si>
  <si>
    <t>juliana.reyesr@gmail.com</t>
  </si>
  <si>
    <t>katyavila.o21@gmail.com</t>
  </si>
  <si>
    <t>No sé tendría que investigar</t>
  </si>
  <si>
    <t>adreina.cruzm@gmail.com</t>
  </si>
  <si>
    <t>Falta de Personal Capacitado, Escaso Interés Estudiantil, Limitaciones en los Planes de Estudio, Altos Costos de Implementación, Desconocimiento General del Tema</t>
  </si>
  <si>
    <t>adri_toro24@gmail.com</t>
  </si>
  <si>
    <t>marco.avilasx@gmail.com</t>
  </si>
  <si>
    <t>rociqx09@gmail.com</t>
  </si>
  <si>
    <t>mawaru507@gmail.com</t>
  </si>
  <si>
    <t>samuelp_2001@gmail.com</t>
  </si>
  <si>
    <t>gaitanyohann@gmail.com</t>
  </si>
  <si>
    <t>Chiriquí</t>
  </si>
  <si>
    <t>noemig0519@gmail.com</t>
  </si>
  <si>
    <t>marlon.velasquez01@gmail.com</t>
  </si>
  <si>
    <t>erikvaldezr@gmail.com</t>
  </si>
  <si>
    <t>Mejora en la Educación Universitaria, Atracción de Inversión Extranjera, Desarrollo de Nuevas Industrias (IA, Criptografía, Materiales), Generación de Empleo Especializado</t>
  </si>
  <si>
    <t>julian.toribio@gmail.com</t>
  </si>
  <si>
    <t>leilani_urbina07@gmail.com</t>
  </si>
  <si>
    <t>sergio.valdesqtr@gmail.com</t>
  </si>
  <si>
    <t>Falta de Personal Capacitado, Falta de Recursos Tecnológicos o Equipos, Escaso Interés Estudiantil, Altos Costos de Implementación, Desconocimiento General del Tema</t>
  </si>
  <si>
    <t>diegoqtrz04@gmail.com</t>
  </si>
  <si>
    <t>delia.glezm@gmail.com</t>
  </si>
  <si>
    <t>adrixruiz@gmail.com</t>
  </si>
  <si>
    <t>meryan15@gmail.com</t>
  </si>
  <si>
    <t>en casa de mi tío</t>
  </si>
  <si>
    <t>yisel.morales13@gmail.com</t>
  </si>
  <si>
    <t>Mejora en la Educación Universitaria, Atracción de Inversión Extranjera, Generación de Empleo Especializado</t>
  </si>
  <si>
    <t>alexandra.realb88@gmail.com</t>
  </si>
  <si>
    <t>heidy.ruizl@gmail.com</t>
  </si>
  <si>
    <t>paolagomezv_12@gmail.com</t>
  </si>
  <si>
    <t>lorena_iglez@gmail.com</t>
  </si>
  <si>
    <t>edgarjorl0303@gmail.com</t>
  </si>
  <si>
    <t>alfansvitol@gmail.com</t>
  </si>
  <si>
    <t>marlenedowner19@gmail.com</t>
  </si>
  <si>
    <t>villarrealedwin380@gmail.com</t>
  </si>
  <si>
    <t>Mejora en la Educación Universitaria, Desarrollo de Nuevas Industrias (IA, Criptografía, Materiales)</t>
  </si>
  <si>
    <t>ossyesbn@gmail.com</t>
  </si>
  <si>
    <t>edgar_mendoza15@gmail.com</t>
  </si>
  <si>
    <t>adri_solis@gmail.com</t>
  </si>
  <si>
    <t>ani.gomezz09@gmail.com</t>
  </si>
  <si>
    <t>sarahjim_94@gmail.com</t>
  </si>
  <si>
    <t>elvis_martinez03@gmail.com</t>
  </si>
  <si>
    <t>Hardware Cuántico, Aplicaciones Industriales (IA, Criptografía, Optimizacion)</t>
  </si>
  <si>
    <t>fernandocamp.32@gmail.com</t>
  </si>
  <si>
    <t>mauricio.lpz@gmail.com</t>
  </si>
  <si>
    <t>ddluss123@gmail.com</t>
  </si>
  <si>
    <t>eduardo_ortega20@gmail.com</t>
  </si>
  <si>
    <t>luism.sols@gmail.com</t>
  </si>
  <si>
    <t>mariaelena.rosas@gmail.com</t>
  </si>
  <si>
    <t>sandra.benitezx@gmail.com</t>
  </si>
  <si>
    <t>stefany.deleonm@gmail.com</t>
  </si>
  <si>
    <t>Hardware Cuántico, Aplicaciones Industriales (IA, Criptografía, Optimizacion), Educación y Divulgación Científica</t>
  </si>
  <si>
    <t>roxyy.delgado@gmail.com</t>
  </si>
  <si>
    <t>Youtube</t>
  </si>
  <si>
    <t>Aplicaciones Industriales (IA, Criptografía, Optimizacion), Desarrollo de nuevas técnicas de cifrado</t>
  </si>
  <si>
    <t>cesar_ovalle22@gmail.com</t>
  </si>
  <si>
    <t>Aplicaciones Industriales (IA, Criptografía, Optimizacion), El hecho de que algoritmos de encriptación como RSA serán obsoletos debido a las computadoras cuánticas</t>
  </si>
  <si>
    <t>karenguz_12@gmail.com</t>
  </si>
  <si>
    <t>jonasdelc03@gmail.com</t>
  </si>
  <si>
    <t>denisse.mrojas@gmail.com</t>
  </si>
  <si>
    <t>jessylo_97@gmail.com</t>
  </si>
  <si>
    <t>jesramz24@gmail.com</t>
  </si>
  <si>
    <t>akiraceb.dz@gmail.com</t>
  </si>
  <si>
    <t>lorena.camposx@gmail.com</t>
  </si>
  <si>
    <t>lliethm_99@gmail.com</t>
  </si>
  <si>
    <t>jorgelemusx@gmail.com</t>
  </si>
  <si>
    <t>xim.torr98@gmail.com</t>
  </si>
  <si>
    <t>noelacarrilloz@gmail.com</t>
  </si>
  <si>
    <t>Falta de Recursos Tecnológicos o Equipos, Escaso Interés Estudiantil</t>
  </si>
  <si>
    <t>fernanda.reyesx@gmail.com</t>
  </si>
  <si>
    <t>cris.camrg92@gmail.com</t>
  </si>
  <si>
    <t>karlitacp@gmail.com</t>
  </si>
  <si>
    <t>lisbeth_ruizp@gmail.com</t>
  </si>
  <si>
    <t>No sé del tema como para decidir que interés tengo</t>
  </si>
  <si>
    <t>Falta de Recursos Tecnológicos o Equipos, Escaso Interés Estudiantil, Limitaciones en los Planes de Estudio</t>
  </si>
  <si>
    <t>marta_gonzalezr@gmail.com</t>
  </si>
  <si>
    <t>Falta de Personal Capacitado, Escaso Interés Estudiantil, Limitaciones en los Planes de Estudio, Desconocimiento General del Tema</t>
  </si>
  <si>
    <t>fabian_riosx@gmail.com</t>
  </si>
  <si>
    <t>juancarlos.benitez@gmail.com</t>
  </si>
  <si>
    <t>sofivz_02@gmail.com</t>
  </si>
  <si>
    <t>sabri.cruzm@gmail.com</t>
  </si>
  <si>
    <t>karen.arce_22@gmail.com</t>
  </si>
  <si>
    <t>Mejora en la Educación Universitaria, Mayor competitividad en el mercado laboral internacional</t>
  </si>
  <si>
    <t>tomas_rivera21@gmail.com</t>
  </si>
  <si>
    <t>valex_toro@gmail.com</t>
  </si>
  <si>
    <t>melanytr19@gmail.com</t>
  </si>
  <si>
    <t>estrellaruizp@gmail.com</t>
  </si>
  <si>
    <t>lucy_rmz17@gmail.com</t>
  </si>
  <si>
    <t>gkathleen168@gmail.com</t>
  </si>
  <si>
    <t>esteban_ruiz92@gmail.com</t>
  </si>
  <si>
    <t>camilo.rs98@gmail.com</t>
  </si>
  <si>
    <t>guillermop_87@gmail.com</t>
  </si>
  <si>
    <t>dario_hernandez20@gmail.com</t>
  </si>
  <si>
    <t>laura_paredesx@gmail.com</t>
  </si>
  <si>
    <t>Escaso Interés Estudiantil, Desconocimiento General del Tema, La gente o no sabe sobre esto, o no les interesa</t>
  </si>
  <si>
    <t>elielg26@gmail.com</t>
  </si>
  <si>
    <t>Falta de Personal Capacitado, Falta de Recursos Tecnológicos o Equipos, Escaso Interés Estudiantil, Desconocimiento General del Tema</t>
  </si>
  <si>
    <t>yolandamc_08@gmail.com</t>
  </si>
  <si>
    <t>marcos21265@gmail.com</t>
  </si>
  <si>
    <t>1188santafe@gmail.com</t>
  </si>
  <si>
    <t>Criptografía Cuántica</t>
  </si>
  <si>
    <t>Impulso a la Innovación Científica y Tecnológica, Mejora en la Educación Universitaria, Atracción de Inversión Extranjera, Desarrollo de Nuevas Industrias (IA, Criptografía, Materiales), Generación de Empleo Especializado, Mejor ciberseguridad a nivel nacional</t>
  </si>
  <si>
    <t>anagaitan212@gmail.com</t>
  </si>
  <si>
    <t>ninguno</t>
  </si>
  <si>
    <t>Falta de Personal Capacitado, Falta de Recursos Tecnológicos o Equipos, Escaso Interés Estudiantil, Limitaciones en los Planes de Estudio, Altos Costos de Implementación, Desconocimiento General del Tema, Hay que ir a estudiar afuera para aprender sobre este tema, aqui no</t>
  </si>
  <si>
    <t>merilynsalina05@gmail.com</t>
  </si>
  <si>
    <t>mendozarolando2201322@gmail.com</t>
  </si>
  <si>
    <t>cristyortiz_17@gmail.com</t>
  </si>
  <si>
    <t>lfrivas.p@gmail.com</t>
  </si>
  <si>
    <t>rigobertorose_18@gmail.com</t>
  </si>
  <si>
    <t>nelson_ferrer@gmail.com</t>
  </si>
  <si>
    <t>lau_mendozax@gmail.com</t>
  </si>
  <si>
    <t>antonio_sj05@gmail.com</t>
  </si>
  <si>
    <t>norse0606@gmail.com</t>
  </si>
  <si>
    <t>Falta de Personal Capacitado, Limitaciones en los Planes de Estudio</t>
  </si>
  <si>
    <t>nellys.torres@gmail.com</t>
  </si>
  <si>
    <t>raul.efrias05@gmail.com</t>
  </si>
  <si>
    <t>mayeliortizx@gmail.com</t>
  </si>
  <si>
    <t>ruben_moralesx@gmail.com</t>
  </si>
  <si>
    <t>david_izaguirre22@gmail.com</t>
  </si>
  <si>
    <t>esther_salgado@gmail.com</t>
  </si>
  <si>
    <t>ricberht109@gmail.com</t>
  </si>
  <si>
    <t>fcelis92@gmail.com</t>
  </si>
  <si>
    <t>abrahamqfer02@gmail.com</t>
  </si>
  <si>
    <t>fernandox.arz@gmail.com</t>
  </si>
  <si>
    <t>carmen.rosariox@gmail.com</t>
  </si>
  <si>
    <t>gerson.valdez97@gmail.com</t>
  </si>
  <si>
    <t>ricardoqv_29@gmail.com</t>
  </si>
  <si>
    <t>victor_herrera04@gmail.com</t>
  </si>
  <si>
    <t>joseluisv_esc@gmail.com</t>
  </si>
  <si>
    <t>felix_samaniego@gmail.com</t>
  </si>
  <si>
    <t>pierina.salazar@gmail.com</t>
  </si>
  <si>
    <t>carloszoto96@gmail.com</t>
  </si>
  <si>
    <t>gerasanz98@gmail.com</t>
  </si>
  <si>
    <t>ariel.lozani17@gmail.com</t>
  </si>
  <si>
    <t>eduard_carrasco@gmail.com</t>
  </si>
  <si>
    <t>Hardware Cuántico, Física y Fundamentos Teóricos, Aplicaciones Industriales (IA, Criptografía, Optimizacion)</t>
  </si>
  <si>
    <t>tomasvg_04@gmail.com</t>
  </si>
  <si>
    <t>noelguerra@gmail.com</t>
  </si>
  <si>
    <t>camila_espinosa07@gmail.com</t>
  </si>
  <si>
    <t>estefania.romo03@gmail.com</t>
  </si>
  <si>
    <t>untipollamadoraul@gmail.com</t>
  </si>
  <si>
    <t>juanita.cruzm@gmail.com</t>
  </si>
  <si>
    <t>bricurramba@gmail.com</t>
  </si>
  <si>
    <t>laura.molinar08@gmail.com</t>
  </si>
  <si>
    <t>nelson.arias_26@gmail.com</t>
  </si>
  <si>
    <t>vicky.montesx@gmail.com</t>
  </si>
  <si>
    <t>angievr05@gmail.com</t>
  </si>
  <si>
    <t>dannyruizx@gmail.com</t>
  </si>
  <si>
    <t>Falta de Personal Capacitado, Escaso Interés Estudiantil, Altos Costos de Implementación</t>
  </si>
  <si>
    <t>luisf_gaitan@gmail.com</t>
  </si>
  <si>
    <t>hector_ovalle@gmail.com</t>
  </si>
  <si>
    <t>julio.martinezx@gmail.com</t>
  </si>
  <si>
    <t>brandomorris13@gmail.com</t>
  </si>
  <si>
    <t>gonzaluis0019@gmail.com</t>
  </si>
  <si>
    <t>walter_robles97@gmail.com</t>
  </si>
  <si>
    <t>angelcruz121005@gmail.com</t>
  </si>
  <si>
    <t>jordy890anel@gmail.com</t>
  </si>
  <si>
    <t>valdeskigdi@gmail.com</t>
  </si>
  <si>
    <t>joseph.luna01@gmail.com</t>
  </si>
  <si>
    <t>bryan_mtz99@gmail.com</t>
  </si>
  <si>
    <t>sebayl07@gmail.com</t>
  </si>
  <si>
    <t>marcoa_1989@gmail.com</t>
  </si>
  <si>
    <t>edward_pinto@gmail.com</t>
  </si>
  <si>
    <t>humberto_roldan@gmail.com</t>
  </si>
  <si>
    <t>iris_mendoza21@gmail.com</t>
  </si>
  <si>
    <t>randy.castro29@gmail.com</t>
  </si>
  <si>
    <t>edilmafrias1982@gmail.com</t>
  </si>
  <si>
    <t>fernando.qtr91@gmail.com</t>
  </si>
  <si>
    <t>osmanyv_90@gmail.com</t>
  </si>
  <si>
    <t>rommel.castillog@gmail.com</t>
  </si>
  <si>
    <t>nataly.castro94@gmail.com</t>
  </si>
  <si>
    <t>f.robez90@gmail.com</t>
  </si>
  <si>
    <t>ricardomirox@gmail.com</t>
  </si>
  <si>
    <t>leinard.mendoza04@gmail.com</t>
  </si>
  <si>
    <t>jose.antonio.valdez@gmail.com</t>
  </si>
  <si>
    <t>rafael.montecino93@gmail.com</t>
  </si>
  <si>
    <t>ghostlyy001ap@gmail.com</t>
  </si>
  <si>
    <t>romina.garcia92@gmail.com</t>
  </si>
  <si>
    <t>kevinsoto_94@gmail.com</t>
  </si>
  <si>
    <t>Falta de Recursos Tecnológicos o Equipos, Escaso Interés Estudiantil, Altos Costos de Implementación</t>
  </si>
  <si>
    <t>jonathanb_25@gmail.com</t>
  </si>
  <si>
    <t>mayraand_99@gmail.com</t>
  </si>
  <si>
    <t>lusisangel.quiros97@gmail.com</t>
  </si>
  <si>
    <t>andre_mtz09@gmail.com</t>
  </si>
  <si>
    <t xml:space="preserve">No sé </t>
  </si>
  <si>
    <t>bryanq01@gmail.com</t>
  </si>
  <si>
    <t>fabiansanchez04@gmail.com</t>
  </si>
  <si>
    <t>Vacio</t>
  </si>
  <si>
    <t xml:space="preserve">Vacio </t>
  </si>
  <si>
    <t>kevinflo_95@gmail.com</t>
  </si>
  <si>
    <t>juancho.mc23@gmail.com</t>
  </si>
  <si>
    <t>carlosedu_95@gmail.com</t>
  </si>
  <si>
    <t>lucas.cast01@gmail.com</t>
  </si>
  <si>
    <t>roxanalopez92@gmail.com</t>
  </si>
  <si>
    <t>adaly.abrego94@gmail.com</t>
  </si>
  <si>
    <t>natalia_ponce23@gmail.com</t>
  </si>
  <si>
    <t>nelly.cardenas10@gmail.com</t>
  </si>
  <si>
    <t>Falta de Recursos Tecnológicos o Equipos, Escaso Interés Estudiantil, Limitaciones en los Planes de Estudio, Altos Costos de Implementación, Desconocimiento General del Tema</t>
  </si>
  <si>
    <t>maytec95@gmail.com</t>
  </si>
  <si>
    <t>rogerqz.19@gmail.com</t>
  </si>
  <si>
    <t>13.gfvr@gmail.com</t>
  </si>
  <si>
    <t>samaniegogabriel268@gmail.com</t>
  </si>
  <si>
    <t>czurdo198@gmail.com</t>
  </si>
  <si>
    <t>andresth_98@gmail.com</t>
  </si>
  <si>
    <t>pati.gomezx23@gmail.com</t>
  </si>
  <si>
    <t>abdielsanjur_qt@hotmail.com</t>
  </si>
  <si>
    <t>emy.ortz11@gmail.com</t>
  </si>
  <si>
    <t>oliverjorge77@gmail.com</t>
  </si>
  <si>
    <t>bry.hurtado94@gmail.com</t>
  </si>
  <si>
    <t>zulayhenriqz@gmail.com</t>
  </si>
  <si>
    <t>sofia.carrillo07@gmail.com</t>
  </si>
  <si>
    <t>roxana_velez@gmail.com</t>
  </si>
  <si>
    <t>javierrobertodunn07@gmail.com</t>
  </si>
  <si>
    <t>Falta de Recursos Tecnológicos o Equipos, Limitaciones en los Planes de Estudio, Desconocimiento General del Tema</t>
  </si>
  <si>
    <t>alextorres.lau@gmail.com</t>
  </si>
  <si>
    <t>emirox@gmail.com</t>
  </si>
  <si>
    <t>jhonnyvillarreal94@gmail.com</t>
  </si>
  <si>
    <t>Veraguas</t>
  </si>
  <si>
    <t>camilagt94@gmail.com</t>
  </si>
  <si>
    <t>edgar_pn21@gmail.com</t>
  </si>
  <si>
    <t>josuegmz08@gmail.com</t>
  </si>
  <si>
    <t>danielaurena92@gmail.com</t>
  </si>
  <si>
    <t>Falta de Recursos Tecnológicos o Equipos, Escaso Interés Estudiantil, Limitaciones en los Planes de Estudio, Altos Costos de Implementación</t>
  </si>
  <si>
    <t>keishatx07@gmail.com</t>
  </si>
  <si>
    <t xml:space="preserve">No tengo la menor idea </t>
  </si>
  <si>
    <t>:/</t>
  </si>
  <si>
    <t>maripaz_s@hotmail.com</t>
  </si>
  <si>
    <t xml:space="preserve">Mi familia </t>
  </si>
  <si>
    <t>shey.ceballos.it@gmail.com</t>
  </si>
  <si>
    <t>Programación y Desarrollo de Algoritmos Cuánticos, Hardware Cuántico, Aplicaciones Industriales (IA, Criptografía, Optimizacion), Educación y Divulgación Científica</t>
  </si>
  <si>
    <t>juandgo_11@gmail.com</t>
  </si>
  <si>
    <t>Deisygutierrez601@gmail.com</t>
  </si>
  <si>
    <t>Programación y Desarrollo de Algoritmos Cuánticos, Hardware Cuántico, Educación y Divulgación Científica</t>
  </si>
  <si>
    <t>kerenmartinezam@gmail.com</t>
  </si>
  <si>
    <t>juanpabloramirez94@gmail.com</t>
  </si>
  <si>
    <t>Escaso Interés Estudiantil, Altos Costos de Implementación</t>
  </si>
  <si>
    <t>alejandro.ramosp@gmail.com</t>
  </si>
  <si>
    <t>alis_hernndz@gmail.com</t>
  </si>
  <si>
    <t>ivanbustos8@gmail.com</t>
  </si>
  <si>
    <t>felipe_jaramillo99@gmail.com</t>
  </si>
  <si>
    <t>paula_gonzalezx@gmail.com</t>
  </si>
  <si>
    <t>pcastm@gmail.com</t>
  </si>
  <si>
    <t>arrochaedwin00@gmail.com</t>
  </si>
  <si>
    <t>humberto.vega98@gmail.com</t>
  </si>
  <si>
    <t>samuel.rosales01@gmail.com</t>
  </si>
  <si>
    <t>melvinortizm@gmail.com</t>
  </si>
  <si>
    <t>donailysromero@gmail.com</t>
  </si>
  <si>
    <t>alondrp13@gmail.com</t>
  </si>
  <si>
    <t xml:space="preserve">No me interesa </t>
  </si>
  <si>
    <t xml:space="preserve">No tengo conocimiento sobre el tema como para decir que sería beneficióso </t>
  </si>
  <si>
    <t xml:space="preserve">Lo mismo aplica aquí </t>
  </si>
  <si>
    <t>euromaff26@proton.me</t>
  </si>
  <si>
    <t>Variables</t>
  </si>
  <si>
    <t>Preguntas</t>
  </si>
  <si>
    <t>¿Acepta participar en esta encuesta bajo estas condiciones?</t>
  </si>
  <si>
    <t>¿Actualmente estudia en la Universidad Tecnológica de Panamá?</t>
  </si>
  <si>
    <t>¿En qué facultad de la UTP estudia actualmente?</t>
  </si>
  <si>
    <t>¿Quién fue su encuestador?</t>
  </si>
  <si>
    <t>¿Cuál es su género?</t>
  </si>
  <si>
    <t>¿Cuál es su edad?</t>
  </si>
  <si>
    <t>¿En qué provincia o comarca indígena reside actualmente?</t>
  </si>
  <si>
    <t>¿Qué carrera estás estudiando en la Facultad de Ingeniería en Sistemas Computacionales?</t>
  </si>
  <si>
    <t>¿Has escuchado anteriormente el término 'Computación Cuántica'?</t>
  </si>
  <si>
    <t>Fuente de conocimiento</t>
  </si>
  <si>
    <t>¿Dónde escuchaste por primera vez sobre la Computación Cuántica?</t>
  </si>
  <si>
    <t>Nivel de conocimiento</t>
  </si>
  <si>
    <t>¿Qué nivel de conocimiento consideras que tienes sobre computación cuántica?</t>
  </si>
  <si>
    <t>¿Qué tan familiarizado estás con los principios básicos de la computación cuántica?</t>
  </si>
  <si>
    <t>Tiempo de estudio</t>
  </si>
  <si>
    <t>¿Cuántas horas aproximadas has dedicado a aprender o investigar sobre computación cuántica?</t>
  </si>
  <si>
    <t>Cursos realizados</t>
  </si>
  <si>
    <t>¿Cuántos cursos, talleres o charlas sobre computación cuántica has tomado en total?</t>
  </si>
  <si>
    <t>Interés en aprender</t>
  </si>
  <si>
    <t>¿Qué tan interesado(a) estás en aprender Computación Cuántica?</t>
  </si>
  <si>
    <t>Interés en participar</t>
  </si>
  <si>
    <t>¿Qué tan interesado(a) estarías en formar parte de proyectos o investigaciones vinculadas a la Computación Cuántica?</t>
  </si>
  <si>
    <t>Área de interés</t>
  </si>
  <si>
    <t>¿Qué aspecto de la computación cuántica te genera mayor interés?</t>
  </si>
  <si>
    <t>Dedicación semanal</t>
  </si>
  <si>
    <t>¿Cuánto tiempo estarías dispuesto a dedicar semanalmente a aprender sobre Computación Cuántica?</t>
  </si>
  <si>
    <t>Actividades extracurriculares</t>
  </si>
  <si>
    <t>¿Cuántas veces has participado en actividades extracurriculares relacionadas con tecnología o innovación?</t>
  </si>
  <si>
    <t>Impacto futuro</t>
  </si>
  <si>
    <t>En una escala del 1 al 10, ¿qué tan significativo crees que será el impacto de la computación cuántica en el futuro de la tecnología?</t>
  </si>
  <si>
    <t>¿Qué tan accesible es el aprendizaje de la computación cuántica para los estudiantes panameños?</t>
  </si>
  <si>
    <t>Integración universitaria</t>
  </si>
  <si>
    <t>¿Qué opinas sobre la integración de la computación cuántica en los programas universitarios en Panamá?</t>
  </si>
  <si>
    <t>¿Qué beneficios crees que puede aportar la computación cuántica al desarrollo tecnológico del país?</t>
  </si>
  <si>
    <t>Disposición a invertir</t>
  </si>
  <si>
    <t>¿Cuánto estaría dispuesto(a) a invertir mensualmente en su educación relacionada con Computación Cuántica (cursos, certificaciones, materiales, etc.)?</t>
  </si>
  <si>
    <t>¿Qué desafíos consideras que existen para implementar la enseñanza de computación cuántica en universidades panameñas?</t>
  </si>
  <si>
    <t>Primera Parte - Análisis</t>
  </si>
  <si>
    <t>1. Cantidad de registros válidos obtenidos</t>
  </si>
  <si>
    <r>
      <rPr>
        <sz val="12"/>
        <color rgb="FF000000"/>
        <rFont val="Arial"/>
      </rPr>
      <t xml:space="preserve">Luego de revisar y depurar los registros en Excel, </t>
    </r>
    <r>
      <rPr>
        <b/>
        <sz val="12"/>
        <color rgb="FF000000"/>
        <rFont val="Arial"/>
      </rPr>
      <t xml:space="preserve">no se encontraron registros duplicados </t>
    </r>
    <r>
      <rPr>
        <sz val="12"/>
        <color rgb="FF000000"/>
        <rFont val="Arial"/>
      </rPr>
      <t>en la columna de correos electrónicos, lo que confirma que todas las respuestas provienen de participantes válidos.</t>
    </r>
  </si>
  <si>
    <t>⬅✅</t>
  </si>
  <si>
    <t>2. Cantidad de variables cualitativas y cuantitativas que serán analizadas</t>
  </si>
  <si>
    <r>
      <rPr>
        <sz val="12"/>
        <color rgb="FF000000"/>
        <rFont val="Arial"/>
      </rPr>
      <t>El registro cuenta con 25 variables en total, de las cuales</t>
    </r>
    <r>
      <rPr>
        <b/>
        <sz val="12"/>
        <color rgb="FF000000"/>
        <rFont val="Arial"/>
      </rPr>
      <t xml:space="preserve"> 20 son cualitativas</t>
    </r>
    <r>
      <rPr>
        <sz val="12"/>
        <color rgb="FF000000"/>
        <rFont val="Arial"/>
      </rPr>
      <t xml:space="preserve"> y </t>
    </r>
    <r>
      <rPr>
        <b/>
        <sz val="12"/>
        <color rgb="FF000000"/>
        <rFont val="Arial"/>
      </rPr>
      <t>5 cuantitativas</t>
    </r>
    <r>
      <rPr>
        <sz val="12"/>
        <color rgb="FF000000"/>
        <rFont val="Arial"/>
      </rPr>
      <t>, mostrando un mayor enfoque en las percepciones y opiniones de los estudiantes, complementadas con algunos datos numéricos para el análisis general.</t>
    </r>
  </si>
  <si>
    <t>3. Realizar un gráfico de pastel, con título adecuado, con categorías(solo hasta 8 ), valor absoluto {entero}, valor relativo {porcentaje}, colores ajustados</t>
  </si>
  <si>
    <t>Frecuencia de Horas de Dedicación Semanal (Valor Absoluto, entero)</t>
  </si>
  <si>
    <t>Valor Relativo (porcentaje)</t>
  </si>
  <si>
    <t>Total general</t>
  </si>
  <si>
    <t>4. Realizar un gráfico de barras con título adecuado, etiqueta de datos y colores ajustados</t>
  </si>
  <si>
    <t>Frecuencia de Género</t>
  </si>
  <si>
    <t>5. Realizar dos gráficos de histogramas con título adecuado, etiqueta de datos y colores ajustados</t>
  </si>
  <si>
    <t>6. Realizar un gráfico de caja y bigotes con título adecuado, etiqueta de datos y colores ajustados</t>
  </si>
  <si>
    <t>Frecuencia</t>
  </si>
  <si>
    <t>%</t>
  </si>
  <si>
    <t>La mediana del nivel de conocimiento se encuentra en 2, indicando un nivel bajo en promedio.
La mayoría de los participantes califican su conocimiento entre los niveles 1 y 3, mientras que los  niveles avanzados (4 y 5) son poco frecuentes.</t>
  </si>
  <si>
    <t>7. Realizar un gráfico de caja y bigotes con una variable cuantitativa continua y una variable
cualitativa de interés.</t>
  </si>
  <si>
    <t xml:space="preserve"> </t>
  </si>
  <si>
    <t>La mayoría invertiría entre USD 10 y USD 26 al mes.</t>
  </si>
  <si>
    <t>Existe un pequeño grupo dispuesto a invertir cantidades mucho mayores</t>
  </si>
  <si>
    <t>(hasta USD 3000), lo cual genera valores atípicos.</t>
  </si>
  <si>
    <t>La mediana de familiaridad se encuentra alrededor del nivel 2, lo que indica poca familiaridad con los conceptos básicos de Computación Cuántica.
La mayoría de respuestas se concentran entre 1 y 3, lo cual sugiere que la población tiene una noción baja del tema, con poca presencia de personas totalmente expertas.</t>
  </si>
  <si>
    <t>Cuenta de Interés en Participar</t>
  </si>
  <si>
    <t>Total Ingeniería de Software</t>
  </si>
  <si>
    <t>Total Ingeniería en Ciberseguridad</t>
  </si>
  <si>
    <t>Total Ingeniería en Ciencias de la Computación</t>
  </si>
  <si>
    <t>Total Ingeniería en Informática Aplicada a la Educación</t>
  </si>
  <si>
    <t>Total Ingeniería en Redes Informáticas</t>
  </si>
  <si>
    <t>Total Ingeniería en Sistemas</t>
  </si>
  <si>
    <t>8. Agregue un gráfico de líneas que logre visualizar la cantidad de encuestas por día según los
encuestadores.</t>
  </si>
  <si>
    <t>Encuestas por encuestador</t>
  </si>
  <si>
    <t>9. Agregue dos gráficos que no ha sido utilizado y considera que puede usar para representar una
variable.</t>
  </si>
  <si>
    <t>La mayoría de los participantes considera que la computación cuántica tendrá un impacto altamente significativo en el futuro de la tecnología, concentrándose principalmente entre los niveles 8 y 10. Esto indica una percepción positiva y expectativas elevadas hacia esta tecnología emergente.</t>
  </si>
  <si>
    <t>La mayoría de los participantes mostró un alto nivel de interés en aprender computación cuántica (niveles 4 y 5), lo que refleja una actitud positiva hacia capacitarse en esta tecnología emergente.</t>
  </si>
  <si>
    <t xml:space="preserve">10. Gráfique una variable medida por escala Likert con título adecuado, etiqueta de datos y colores
ajustados
</t>
  </si>
  <si>
    <t>Cuenta de Accesibilidad</t>
  </si>
  <si>
    <t>Segunda Parte - Cálculo</t>
  </si>
  <si>
    <t>1. Calcule proporción (porcentaje) en dos variables cualitativas de relevancia para su análisis y que
no haya sido graficada (Tabla dinámica)</t>
  </si>
  <si>
    <t>Frecuencia (n)</t>
  </si>
  <si>
    <t>Porcentaje (%)</t>
  </si>
  <si>
    <t>Cuenta de Beneficios</t>
  </si>
  <si>
    <t xml:space="preserve">2. Calcule media {promedio} y desviación estándar para dos variables cuantitativas continuas
</t>
  </si>
  <si>
    <t xml:space="preserve">Promedio </t>
  </si>
  <si>
    <t>Desviación estándar</t>
  </si>
  <si>
    <t>Promedio</t>
  </si>
  <si>
    <t>Desvestp de Disposición a Invertir</t>
  </si>
  <si>
    <t>3. Calcule la media { promedio} para las variables tipo escala Likert e interprete ¿en que escala
figuran los encuestados?</t>
  </si>
  <si>
    <t>Promedio Ponderado</t>
  </si>
  <si>
    <t>4. Calcule Proporción para las variables cualitativas de acuerdo a la respuesta con mayor
frecuencia por medio de la fórmula Contar.Si</t>
  </si>
  <si>
    <t>Proporción (%)</t>
  </si>
  <si>
    <t>Femenino</t>
  </si>
  <si>
    <t>Masculino</t>
  </si>
  <si>
    <t>En esta encuesta</t>
  </si>
  <si>
    <t>Otro</t>
  </si>
  <si>
    <t>Prefiero no decirlo</t>
  </si>
  <si>
    <t>Mi familia</t>
  </si>
  <si>
    <t>5. Calcule el Coeficiente de variación para las variables cuantitativas por medio de la formula
{Promedio/Desviación Estándar}x100</t>
  </si>
  <si>
    <t>Coeficiente de Variación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</si>
</sst>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&quot;$&quot;#,##0.00"/>
  </numFmts>
  <fonts count="17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rgb="FF000000"/>
      <name val="Arial"/>
      <scheme val="minor"/>
    </font>
    <font>
      <sz val="12"/>
      <color rgb="FF000000"/>
      <name val="Arial"/>
      <scheme val="major"/>
    </font>
    <font>
      <b/>
      <sz val="10"/>
      <color rgb="FF000000"/>
      <name val="Arial"/>
      <scheme val="minor"/>
    </font>
    <font>
      <b/>
      <sz val="12"/>
      <color theme="1"/>
      <name val="Arial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4"/>
      <color rgb="FF000000"/>
      <name val="Arial"/>
      <family val="2"/>
      <charset val="1"/>
    </font>
    <font>
      <sz val="10"/>
      <color rgb="FF000000"/>
      <name val="Arial"/>
    </font>
    <font>
      <sz val="26"/>
      <color rgb="FF000000"/>
      <name val="Arial"/>
    </font>
    <font>
      <sz val="12"/>
      <color rgb="FF000000"/>
      <name val="Arial"/>
    </font>
    <font>
      <b/>
      <sz val="12"/>
      <color rgb="FF000000"/>
      <name val="Arial"/>
    </font>
    <font>
      <sz val="11"/>
      <color rgb="FF202124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 applyFont="1" applyAlignment="1"/>
    <xf numFmtId="0" fontId="2" fillId="3" borderId="1" xfId="0" applyFont="1" applyFill="1" applyBorder="1" applyAlignment="1">
      <alignment horizontal="center"/>
    </xf>
    <xf numFmtId="0" fontId="0" fillId="0" borderId="0" xfId="0" pivotButton="1" applyFont="1" applyAlignment="1"/>
    <xf numFmtId="0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pivotButton="1" applyFont="1" applyAlignment="1">
      <alignment horizontal="center" vertical="center"/>
    </xf>
    <xf numFmtId="0" fontId="0" fillId="0" borderId="0" xfId="0" pivotButton="1" applyFont="1" applyAlignment="1">
      <alignment horizontal="center"/>
    </xf>
    <xf numFmtId="0" fontId="4" fillId="0" borderId="0" xfId="0" applyFont="1" applyAlignment="1"/>
    <xf numFmtId="0" fontId="5" fillId="0" borderId="0" xfId="0" applyFont="1" applyAlignment="1"/>
    <xf numFmtId="0" fontId="6" fillId="3" borderId="0" xfId="0" applyFont="1" applyFill="1" applyAlignment="1">
      <alignment horizontal="center"/>
    </xf>
    <xf numFmtId="0" fontId="0" fillId="0" borderId="0" xfId="0" applyFont="1" applyBorder="1" applyAlignment="1"/>
    <xf numFmtId="0" fontId="0" fillId="0" borderId="3" xfId="0" applyFont="1" applyBorder="1" applyAlignment="1"/>
    <xf numFmtId="0" fontId="4" fillId="0" borderId="0" xfId="0" applyFont="1" applyBorder="1" applyAlignment="1"/>
    <xf numFmtId="165" fontId="4" fillId="0" borderId="0" xfId="0" applyNumberFormat="1" applyFont="1" applyBorder="1" applyAlignment="1"/>
    <xf numFmtId="0" fontId="0" fillId="0" borderId="0" xfId="0" applyFont="1" applyBorder="1" applyAlignment="1">
      <alignment horizontal="center"/>
    </xf>
    <xf numFmtId="0" fontId="4" fillId="0" borderId="2" xfId="0" pivotButton="1" applyFont="1" applyBorder="1" applyAlignment="1"/>
    <xf numFmtId="0" fontId="4" fillId="0" borderId="2" xfId="0" applyFont="1" applyBorder="1" applyAlignment="1"/>
    <xf numFmtId="0" fontId="0" fillId="0" borderId="2" xfId="0" pivotButton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Font="1" applyAlignment="1">
      <alignment horizontal="left"/>
    </xf>
    <xf numFmtId="14" fontId="0" fillId="0" borderId="4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14" fontId="0" fillId="0" borderId="0" xfId="0" applyNumberFormat="1" applyFont="1" applyAlignment="1"/>
    <xf numFmtId="14" fontId="0" fillId="3" borderId="4" xfId="0" applyNumberFormat="1" applyFont="1" applyFill="1" applyBorder="1" applyAlignment="1">
      <alignment horizontal="center"/>
    </xf>
    <xf numFmtId="0" fontId="4" fillId="0" borderId="2" xfId="0" pivotButton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2" xfId="0" applyNumberFormat="1" applyFont="1" applyBorder="1" applyAlignment="1">
      <alignment horizontal="center"/>
    </xf>
    <xf numFmtId="0" fontId="8" fillId="4" borderId="0" xfId="0" applyFont="1" applyFill="1" applyBorder="1" applyAlignment="1">
      <alignment horizontal="center"/>
    </xf>
    <xf numFmtId="0" fontId="9" fillId="3" borderId="6" xfId="0" applyFont="1" applyFill="1" applyBorder="1" applyAlignment="1">
      <alignment horizontal="center"/>
    </xf>
    <xf numFmtId="10" fontId="0" fillId="0" borderId="0" xfId="0" applyNumberFormat="1" applyFont="1" applyAlignment="1"/>
    <xf numFmtId="0" fontId="10" fillId="4" borderId="4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pivotButton="1" applyFont="1" applyAlignment="1">
      <alignment horizontal="center"/>
    </xf>
    <xf numFmtId="0" fontId="5" fillId="0" borderId="0" xfId="0" pivotButton="1" applyFont="1" applyAlignment="1">
      <alignment horizontal="center"/>
    </xf>
    <xf numFmtId="0" fontId="5" fillId="0" borderId="0" xfId="0" applyFont="1" applyAlignment="1">
      <alignment horizontal="center"/>
    </xf>
    <xf numFmtId="0" fontId="0" fillId="4" borderId="0" xfId="0" applyFont="1" applyFill="1" applyAlignment="1">
      <alignment horizontal="center" wrapText="1"/>
    </xf>
    <xf numFmtId="10" fontId="0" fillId="4" borderId="0" xfId="0" applyNumberFormat="1" applyFont="1" applyFill="1" applyAlignment="1">
      <alignment horizontal="center"/>
    </xf>
    <xf numFmtId="0" fontId="0" fillId="4" borderId="0" xfId="0" applyFont="1" applyFill="1" applyAlignment="1">
      <alignment horizontal="center"/>
    </xf>
    <xf numFmtId="10" fontId="6" fillId="3" borderId="0" xfId="0" applyNumberFormat="1" applyFont="1" applyFill="1" applyAlignment="1">
      <alignment horizontal="center"/>
    </xf>
    <xf numFmtId="1" fontId="0" fillId="4" borderId="0" xfId="0" applyNumberFormat="1" applyFont="1" applyFill="1" applyAlignment="1">
      <alignment horizontal="center" wrapText="1"/>
    </xf>
    <xf numFmtId="1" fontId="6" fillId="3" borderId="0" xfId="0" applyNumberFormat="1" applyFont="1" applyFill="1" applyAlignment="1">
      <alignment horizontal="center" wrapText="1"/>
    </xf>
    <xf numFmtId="0" fontId="7" fillId="3" borderId="6" xfId="0" applyFont="1" applyFill="1" applyBorder="1" applyAlignment="1"/>
    <xf numFmtId="0" fontId="7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64" fontId="3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165" fontId="1" fillId="0" borderId="6" xfId="0" applyNumberFormat="1" applyFont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4" borderId="0" xfId="0" applyFont="1" applyFill="1" applyAlignment="1">
      <alignment wrapText="1"/>
    </xf>
    <xf numFmtId="0" fontId="6" fillId="3" borderId="0" xfId="0" applyFont="1" applyFill="1" applyAlignment="1"/>
    <xf numFmtId="10" fontId="6" fillId="3" borderId="0" xfId="0" applyNumberFormat="1" applyFont="1" applyFill="1" applyAlignment="1"/>
    <xf numFmtId="0" fontId="0" fillId="4" borderId="0" xfId="0" applyFont="1" applyFill="1" applyAlignment="1"/>
    <xf numFmtId="10" fontId="0" fillId="4" borderId="0" xfId="0" applyNumberFormat="1" applyFont="1" applyFill="1" applyAlignment="1"/>
    <xf numFmtId="0" fontId="0" fillId="0" borderId="0" xfId="0" applyFont="1" applyAlignment="1">
      <alignment horizontal="center" wrapText="1"/>
    </xf>
    <xf numFmtId="0" fontId="0" fillId="3" borderId="0" xfId="0" applyFont="1" applyFill="1" applyAlignment="1"/>
    <xf numFmtId="10" fontId="0" fillId="3" borderId="0" xfId="0" applyNumberFormat="1" applyFont="1" applyFill="1" applyAlignment="1"/>
    <xf numFmtId="0" fontId="11" fillId="0" borderId="0" xfId="0" applyFont="1" applyAlignment="1">
      <alignment wrapText="1"/>
    </xf>
    <xf numFmtId="0" fontId="13" fillId="0" borderId="0" xfId="0" applyFont="1" applyBorder="1" applyAlignment="1">
      <alignment horizont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10" fontId="0" fillId="0" borderId="0" xfId="0" applyNumberFormat="1" applyFont="1" applyAlignment="1">
      <alignment horizontal="center"/>
    </xf>
    <xf numFmtId="0" fontId="0" fillId="0" borderId="2" xfId="0" applyNumberFormat="1" applyFont="1" applyBorder="1" applyAlignment="1">
      <alignment horizontal="center"/>
    </xf>
    <xf numFmtId="10" fontId="0" fillId="0" borderId="2" xfId="0" applyNumberFormat="1" applyFont="1" applyBorder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10" fontId="0" fillId="0" borderId="0" xfId="0" applyNumberFormat="1" applyFont="1" applyAlignment="1">
      <alignment horizontal="center" vertical="center"/>
    </xf>
    <xf numFmtId="165" fontId="4" fillId="0" borderId="3" xfId="0" applyNumberFormat="1" applyFont="1" applyBorder="1" applyAlignment="1">
      <alignment horizontal="center"/>
    </xf>
    <xf numFmtId="0" fontId="4" fillId="0" borderId="3" xfId="0" applyNumberFormat="1" applyFont="1" applyBorder="1" applyAlignment="1">
      <alignment horizontal="center"/>
    </xf>
    <xf numFmtId="0" fontId="8" fillId="0" borderId="6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vertical="center" wrapText="1"/>
    </xf>
    <xf numFmtId="0" fontId="16" fillId="0" borderId="4" xfId="0" applyFont="1" applyFill="1" applyBorder="1" applyAlignment="1">
      <alignment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/>
    </xf>
    <xf numFmtId="2" fontId="6" fillId="6" borderId="0" xfId="0" applyNumberFormat="1" applyFont="1" applyFill="1" applyAlignment="1">
      <alignment horizontal="center"/>
    </xf>
    <xf numFmtId="2" fontId="1" fillId="6" borderId="6" xfId="0" applyNumberFormat="1" applyFont="1" applyFill="1" applyBorder="1" applyAlignment="1">
      <alignment horizontal="center" vertical="center"/>
    </xf>
    <xf numFmtId="165" fontId="1" fillId="6" borderId="6" xfId="0" applyNumberFormat="1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0" fillId="0" borderId="0" xfId="0" applyFont="1" applyAlignment="1">
      <alignment wrapText="1"/>
    </xf>
    <xf numFmtId="0" fontId="11" fillId="0" borderId="0" xfId="0" applyFont="1" applyBorder="1" applyAlignment="1">
      <alignment wrapText="1"/>
    </xf>
    <xf numFmtId="0" fontId="11" fillId="0" borderId="0" xfId="0" applyFont="1" applyBorder="1" applyAlignment="1">
      <alignment vertical="center" wrapText="1"/>
    </xf>
    <xf numFmtId="0" fontId="11" fillId="0" borderId="0" xfId="0" applyFont="1" applyBorder="1" applyAlignment="1">
      <alignment horizontal="left" vertical="center" wrapText="1"/>
    </xf>
    <xf numFmtId="0" fontId="0" fillId="0" borderId="0" xfId="0" applyFont="1" applyAlignment="1">
      <alignment horizontal="left" wrapText="1"/>
    </xf>
    <xf numFmtId="0" fontId="0" fillId="0" borderId="0" xfId="0" applyFont="1" applyAlignment="1">
      <alignment horizontal="center"/>
    </xf>
    <xf numFmtId="0" fontId="14" fillId="0" borderId="0" xfId="0" applyFont="1" applyBorder="1" applyAlignment="1">
      <alignment wrapText="1"/>
    </xf>
    <xf numFmtId="0" fontId="7" fillId="7" borderId="6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2" fontId="1" fillId="10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wrapText="1"/>
    </xf>
    <xf numFmtId="0" fontId="14" fillId="0" borderId="0" xfId="0" applyFont="1" applyBorder="1" applyAlignment="1">
      <alignment wrapText="1"/>
    </xf>
    <xf numFmtId="0" fontId="11" fillId="0" borderId="0" xfId="0" applyFont="1" applyAlignment="1">
      <alignment horizontal="center" wrapText="1"/>
    </xf>
  </cellXfs>
  <cellStyles count="1">
    <cellStyle name="Normal" xfId="0" builtinId="0"/>
  </cellStyles>
  <dxfs count="3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bottom" textRotation="0" wrapText="1" indent="0" justifyLastLine="0" shrinkToFit="0" readingOrder="0"/>
    </dxf>
    <dxf>
      <alignment horizontal="center"/>
    </dxf>
    <dxf>
      <alignment horizontal="center"/>
    </dxf>
    <dxf>
      <alignment vertical="center" wrapText="1"/>
    </dxf>
    <dxf>
      <font>
        <b/>
      </font>
      <alignment horizontal="center" vertical="center" wrapText="1"/>
    </dxf>
    <dxf>
      <alignment horizontal="center" vertical="top"/>
    </dxf>
    <dxf>
      <alignment horizontal="center"/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numFmt numFmtId="2" formatCode="0.00"/>
    </dxf>
    <dxf>
      <numFmt numFmtId="2" formatCode="0.0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font>
        <name val="Arial"/>
        <scheme val="maj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border outline="0">
        <left/>
        <right/>
        <top/>
        <bottom/>
      </border>
    </dxf>
    <dxf>
      <border outline="0">
        <top style="thin">
          <color rgb="FF000000"/>
        </top>
      </border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border outline="0">
        <left style="double">
          <color rgb="FF000000"/>
        </left>
        <right style="double">
          <color rgb="FF000000"/>
        </right>
        <top style="double">
          <color rgb="FF000000"/>
        </top>
        <bottom style="double">
          <color rgb="FF000000"/>
        </bottom>
      </border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horizontal="center"/>
    </dxf>
    <dxf>
      <alignment horizontal="center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Invisible" pivot="0" table="0" count="0" xr9:uid="{68FED972-02CD-4485-ADC0-A1424F3F99A2}"/>
    <tableStyle name="Respuestas de formulario 1-style" pivot="0" count="4" xr9:uid="{00000000-0011-0000-FFFF-FFFF00000000}">
      <tableStyleElement type="wholeTable" size="0" dxfId="326"/>
      <tableStyleElement type="headerRow" dxfId="325"/>
      <tableStyleElement type="firstRowStripe" dxfId="324"/>
      <tableStyleElement type="secondRowStripe" dxfId="3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[Analisis_de_Encuesta.xlsx]Pastel (P1. Problema #3)!TablaDinámica2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 1. Cantidad de Tiempo que los Estudiantes de la UTP están dispuestos a dedicar para estudiar Computación Cuántica</a:t>
            </a:r>
          </a:p>
        </c:rich>
      </c:tx>
      <c:layout>
        <c:manualLayout>
          <c:xMode val="edge"/>
          <c:yMode val="edge"/>
          <c:x val="0.11259663483401545"/>
          <c:y val="1.3530642487281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4285F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78914663831123E-2"/>
              <c:y val="-0.126106133580146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4 y 6 horas     83 estudiantes            24%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rgbClr val="34A85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03265738341856"/>
              <c:y val="0.1626535653716343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7 y 10 horas        45 estudiantes       13%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rgbClr val="EA433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010871083133713"/>
              <c:y val="0.145359546758557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1 y 3 horas               118 estudiantes   34%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rgbClr val="FBBC0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008767281791975"/>
              <c:y val="-8.34445905678281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Menos de 1 hora     79 estudiantes   22%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rgbClr val="B98FD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4670483720230806E-2"/>
              <c:y val="0.17184109914379095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Más de 10 horas                   24 estudiantes                    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EA4335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20010871083133713"/>
              <c:y val="0.1453595467585579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1 y 3 horas               118 estudiantes   34%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4285F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78914663831123E-2"/>
              <c:y val="-0.1261061335801463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4 y 6 horas     83 estudiantes            24%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FBBC0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20008767281791975"/>
              <c:y val="-8.3444590567828172E-2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Menos de 1 hora     79 estudiantes   22%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34A85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5403265738341856"/>
              <c:y val="0.16265356537163439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Entre 7 y 10 horas        45 estudiantes       13%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rgbClr val="B98FD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4.6116612242783538E-2"/>
              <c:y val="0.17099547189336151"/>
            </c:manualLayout>
          </c:layout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+10 horas                             24 estuds.                               7%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'Pastel (P1. Problema #3)'!$B$3</c:f>
              <c:strCache>
                <c:ptCount val="1"/>
                <c:pt idx="0">
                  <c:v>Frecuencia de Horas de Dedicación Semanal (Valor Absoluto, entero)</c:v>
                </c:pt>
              </c:strCache>
            </c:strRef>
          </c:tx>
          <c:dPt>
            <c:idx val="0"/>
            <c:bubble3D val="0"/>
            <c:spPr>
              <a:solidFill>
                <a:srgbClr val="EA433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C8A-4C29-A366-4DA9BECFD9BE}"/>
              </c:ext>
            </c:extLst>
          </c:dPt>
          <c:dPt>
            <c:idx val="1"/>
            <c:bubble3D val="0"/>
            <c:spPr>
              <a:solidFill>
                <a:srgbClr val="4285F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8A-4C29-A366-4DA9BECFD9B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C8A-4C29-A366-4DA9BECFD9BE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C8A-4C29-A366-4DA9BECFD9BE}"/>
              </c:ext>
            </c:extLst>
          </c:dPt>
          <c:dPt>
            <c:idx val="4"/>
            <c:bubble3D val="0"/>
            <c:spPr>
              <a:solidFill>
                <a:srgbClr val="B98FD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C8A-4C29-A366-4DA9BECFD9BE}"/>
              </c:ext>
            </c:extLst>
          </c:dPt>
          <c:dLbls>
            <c:dLbl>
              <c:idx val="0"/>
              <c:layout>
                <c:manualLayout>
                  <c:x val="-0.20010871083133713"/>
                  <c:y val="0.1453595467585579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Entre 1 y 3 horas               118 estudiantes   34%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0C8A-4C29-A366-4DA9BECFD9BE}"/>
                </c:ext>
              </c:extLst>
            </c:dLbl>
            <c:dLbl>
              <c:idx val="1"/>
              <c:layout>
                <c:manualLayout>
                  <c:x val="-9.678914663831123E-2"/>
                  <c:y val="-0.126106133580146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Entre 4 y 6 horas     83 estudiantes            24%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0C8A-4C29-A366-4DA9BECFD9BE}"/>
                </c:ext>
              </c:extLst>
            </c:dLbl>
            <c:dLbl>
              <c:idx val="2"/>
              <c:layout>
                <c:manualLayout>
                  <c:x val="0.20008767281791975"/>
                  <c:y val="-8.3444590567828172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Menos de 1 hora     79 estudiantes   22%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0C8A-4C29-A366-4DA9BECFD9BE}"/>
                </c:ext>
              </c:extLst>
            </c:dLbl>
            <c:dLbl>
              <c:idx val="3"/>
              <c:layout>
                <c:manualLayout>
                  <c:x val="0.15403265738341856"/>
                  <c:y val="0.1626535653716343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Entre 7 y 10 horas        45 estudiantes       13%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0C8A-4C29-A366-4DA9BECFD9BE}"/>
                </c:ext>
              </c:extLst>
            </c:dLbl>
            <c:dLbl>
              <c:idx val="4"/>
              <c:layout>
                <c:manualLayout>
                  <c:x val="4.6116612242783538E-2"/>
                  <c:y val="0.17099547189336151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8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+10 horas                             24 estuds.                               7%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0C8A-4C29-A366-4DA9BECFD9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'Pastel (P1. Problema #3)'!$A$4:$A$9</c:f>
              <c:strCache>
                <c:ptCount val="5"/>
                <c:pt idx="0">
                  <c:v>Entre 1 y 3 horas</c:v>
                </c:pt>
                <c:pt idx="1">
                  <c:v>Entre 4 y 6 horas</c:v>
                </c:pt>
                <c:pt idx="2">
                  <c:v>Menos de 1 hora</c:v>
                </c:pt>
                <c:pt idx="3">
                  <c:v>Entre 7 y 10 horas</c:v>
                </c:pt>
                <c:pt idx="4">
                  <c:v>Más de 10 horas</c:v>
                </c:pt>
              </c:strCache>
            </c:strRef>
          </c:cat>
          <c:val>
            <c:numRef>
              <c:f>'Pastel (P1. Problema #3)'!$B$4:$B$9</c:f>
              <c:numCache>
                <c:formatCode>General</c:formatCode>
                <c:ptCount val="5"/>
                <c:pt idx="0">
                  <c:v>118</c:v>
                </c:pt>
                <c:pt idx="1">
                  <c:v>83</c:v>
                </c:pt>
                <c:pt idx="2">
                  <c:v>79</c:v>
                </c:pt>
                <c:pt idx="3">
                  <c:v>45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8A-4C29-A366-4DA9BECFD9BE}"/>
            </c:ext>
          </c:extLst>
        </c:ser>
        <c:ser>
          <c:idx val="1"/>
          <c:order val="1"/>
          <c:tx>
            <c:strRef>
              <c:f>'Pastel (P1. Problema #3)'!$C$3</c:f>
              <c:strCache>
                <c:ptCount val="1"/>
                <c:pt idx="0">
                  <c:v>Valor Relativo (porcentaje)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B5C-4AE8-BF06-5A1805CA3E44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B5C-4AE8-BF06-5A1805CA3E44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B5C-4AE8-BF06-5A1805CA3E44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B5C-4AE8-BF06-5A1805CA3E44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B5C-4AE8-BF06-5A1805CA3E4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'Pastel (P1. Problema #3)'!$A$4:$A$9</c:f>
              <c:strCache>
                <c:ptCount val="5"/>
                <c:pt idx="0">
                  <c:v>Entre 1 y 3 horas</c:v>
                </c:pt>
                <c:pt idx="1">
                  <c:v>Entre 4 y 6 horas</c:v>
                </c:pt>
                <c:pt idx="2">
                  <c:v>Menos de 1 hora</c:v>
                </c:pt>
                <c:pt idx="3">
                  <c:v>Entre 7 y 10 horas</c:v>
                </c:pt>
                <c:pt idx="4">
                  <c:v>Más de 10 horas</c:v>
                </c:pt>
              </c:strCache>
            </c:strRef>
          </c:cat>
          <c:val>
            <c:numRef>
              <c:f>'Pastel (P1. Problema #3)'!$C$4:$C$9</c:f>
              <c:numCache>
                <c:formatCode>0.00%</c:formatCode>
                <c:ptCount val="5"/>
                <c:pt idx="0">
                  <c:v>0.33810888252148996</c:v>
                </c:pt>
                <c:pt idx="1">
                  <c:v>0.23782234957020057</c:v>
                </c:pt>
                <c:pt idx="2">
                  <c:v>0.22636103151862463</c:v>
                </c:pt>
                <c:pt idx="3">
                  <c:v>0.12893982808022922</c:v>
                </c:pt>
                <c:pt idx="4">
                  <c:v>6.8767908309455589E-2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71-4312-8F3C-DB1A2E48F9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[Analisis_de_Encuesta.xlsx]Barras (P1. Problema #4)!TablaDinámica3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 2. Genéro de los participantes de la encuesta sobre Computación Cuántica</a:t>
            </a:r>
          </a:p>
        </c:rich>
      </c:tx>
      <c:layout>
        <c:manualLayout>
          <c:xMode val="edge"/>
          <c:yMode val="edge"/>
          <c:x val="0.10551382191308423"/>
          <c:y val="5.09259612471969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8E86"/>
          </a:solidFill>
          <a:ln>
            <a:solidFill>
              <a:srgbClr val="8CB5F9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28E86"/>
          </a:solidFill>
          <a:ln>
            <a:solidFill>
              <a:srgbClr val="F28E86"/>
            </a:solidFill>
            <a:prstDash val="solid"/>
          </a:ln>
          <a:effectLst/>
        </c:spPr>
      </c:pivotFmt>
      <c:pivotFmt>
        <c:idx val="2"/>
        <c:spPr>
          <a:solidFill>
            <a:srgbClr val="8CB5F9"/>
          </a:solidFill>
          <a:ln>
            <a:solidFill>
              <a:srgbClr val="8CB5F9"/>
            </a:solidFill>
            <a:prstDash val="solid"/>
          </a:ln>
          <a:effectLst/>
        </c:spPr>
      </c:pivotFmt>
      <c:pivotFmt>
        <c:idx val="3"/>
        <c:spPr>
          <a:solidFill>
            <a:srgbClr val="BFBFBF"/>
          </a:solidFill>
          <a:ln>
            <a:solidFill>
              <a:srgbClr val="BFBFBF"/>
            </a:solidFill>
            <a:prstDash val="solid"/>
          </a:ln>
          <a:effectLst/>
        </c:spPr>
      </c:pivotFmt>
      <c:pivotFmt>
        <c:idx val="4"/>
        <c:spPr>
          <a:solidFill>
            <a:srgbClr val="F28E86"/>
          </a:solidFill>
          <a:ln>
            <a:solidFill>
              <a:srgbClr val="8CB5F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BFBF"/>
          </a:solidFill>
          <a:ln>
            <a:solidFill>
              <a:srgbClr val="BFBFBF"/>
            </a:solidFill>
            <a:prstDash val="solid"/>
          </a:ln>
          <a:effectLst/>
        </c:spPr>
      </c:pivotFmt>
      <c:pivotFmt>
        <c:idx val="6"/>
        <c:spPr>
          <a:solidFill>
            <a:srgbClr val="F28E86"/>
          </a:solidFill>
          <a:ln>
            <a:solidFill>
              <a:srgbClr val="F28E86"/>
            </a:solidFill>
            <a:prstDash val="solid"/>
          </a:ln>
          <a:effectLst/>
        </c:spPr>
      </c:pivotFmt>
      <c:pivotFmt>
        <c:idx val="7"/>
        <c:spPr>
          <a:solidFill>
            <a:srgbClr val="8CB5F9"/>
          </a:solidFill>
          <a:ln>
            <a:solidFill>
              <a:srgbClr val="8CB5F9"/>
            </a:solidFill>
            <a:prstDash val="solid"/>
          </a:ln>
          <a:effectLst/>
        </c:spPr>
      </c:pivotFmt>
      <c:pivotFmt>
        <c:idx val="8"/>
        <c:spPr>
          <a:solidFill>
            <a:srgbClr val="F28E86"/>
          </a:solidFill>
          <a:ln>
            <a:solidFill>
              <a:srgbClr val="8CB5F9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FBFBF"/>
          </a:solidFill>
          <a:ln>
            <a:solidFill>
              <a:srgbClr val="BFBFBF"/>
            </a:solidFill>
            <a:prstDash val="solid"/>
          </a:ln>
          <a:effectLst/>
        </c:spPr>
      </c:pivotFmt>
      <c:pivotFmt>
        <c:idx val="10"/>
        <c:spPr>
          <a:solidFill>
            <a:srgbClr val="F28E86"/>
          </a:solidFill>
          <a:ln>
            <a:solidFill>
              <a:srgbClr val="F28E86"/>
            </a:solidFill>
            <a:prstDash val="solid"/>
          </a:ln>
          <a:effectLst/>
        </c:spPr>
      </c:pivotFmt>
      <c:pivotFmt>
        <c:idx val="11"/>
        <c:spPr>
          <a:solidFill>
            <a:srgbClr val="8CB5F9"/>
          </a:solidFill>
          <a:ln>
            <a:solidFill>
              <a:srgbClr val="8CB5F9"/>
            </a:solidFill>
            <a:prstDash val="solid"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'Barras (P1. Problema #4)'!$B$4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28E86"/>
            </a:solidFill>
            <a:ln>
              <a:solidFill>
                <a:srgbClr val="8CB5F9"/>
              </a:solidFill>
              <a:prstDash val="solid"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BFBFBF"/>
              </a:solidFill>
              <a:ln>
                <a:solidFill>
                  <a:srgbClr val="BFBF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9A92-4B01-99FE-F67049BC6103}"/>
              </c:ext>
            </c:extLst>
          </c:dPt>
          <c:dPt>
            <c:idx val="2"/>
            <c:invertIfNegative val="0"/>
            <c:bubble3D val="0"/>
            <c:spPr>
              <a:solidFill>
                <a:srgbClr val="F28E86"/>
              </a:solidFill>
              <a:ln>
                <a:solidFill>
                  <a:srgbClr val="F28E86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4-B07D-4BDA-A496-212B008A46A7}"/>
              </c:ext>
            </c:extLst>
          </c:dPt>
          <c:dPt>
            <c:idx val="3"/>
            <c:invertIfNegative val="0"/>
            <c:bubble3D val="0"/>
            <c:spPr>
              <a:solidFill>
                <a:srgbClr val="8CB5F9"/>
              </a:solidFill>
              <a:ln>
                <a:solidFill>
                  <a:srgbClr val="8CB5F9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7D-4BDA-A496-212B008A46A7}"/>
              </c:ext>
            </c:extLst>
          </c:dPt>
          <c:cat>
            <c:strRef>
              <c:f>'Barras (P1. Problema #4)'!$A$5:$A$9</c:f>
              <c:strCache>
                <c:ptCount val="4"/>
                <c:pt idx="0">
                  <c:v>Helicoptero de ataque :v</c:v>
                </c:pt>
                <c:pt idx="1">
                  <c:v>Prefiero no decirlo.</c:v>
                </c:pt>
                <c:pt idx="2">
                  <c:v>Femenino 🙋‍♀️</c:v>
                </c:pt>
                <c:pt idx="3">
                  <c:v>Masculino 🙋‍♂️</c:v>
                </c:pt>
              </c:strCache>
            </c:strRef>
          </c:cat>
          <c:val>
            <c:numRef>
              <c:f>'Barras (P1. Problema #4)'!$B$5:$B$9</c:f>
              <c:numCache>
                <c:formatCode>General</c:formatCode>
                <c:ptCount val="4"/>
                <c:pt idx="0">
                  <c:v>1</c:v>
                </c:pt>
                <c:pt idx="1">
                  <c:v>4</c:v>
                </c:pt>
                <c:pt idx="2">
                  <c:v>155</c:v>
                </c:pt>
                <c:pt idx="3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D-4BDA-A496-212B008A46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65017352"/>
        <c:axId val="1966470151"/>
      </c:barChart>
      <c:catAx>
        <c:axId val="665017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6470151"/>
        <c:crosses val="autoZero"/>
        <c:auto val="1"/>
        <c:lblAlgn val="ctr"/>
        <c:lblOffset val="100"/>
        <c:noMultiLvlLbl val="0"/>
      </c:catAx>
      <c:valAx>
        <c:axId val="196647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017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[Analisis_de_Encuesta.xlsx]Líneas (P1. Problema #8)!TablaDinámica1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8. Encuestas por día según encuestador</a:t>
            </a:r>
          </a:p>
        </c:rich>
      </c:tx>
      <c:layout>
        <c:manualLayout>
          <c:xMode val="edge"/>
          <c:yMode val="edge"/>
          <c:x val="0.22088574429269112"/>
          <c:y val="4.33739307766385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4285F4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34A853"/>
            </a:solidFill>
            <a:prstDash val="solid"/>
            <a:round/>
          </a:ln>
          <a:effectLst/>
        </c:spPr>
        <c:marker>
          <c:symbol val="circle"/>
          <c:size val="6"/>
          <c:spPr>
            <a:solidFill>
              <a:srgbClr val="92D050"/>
            </a:solidFill>
            <a:ln w="9525">
              <a:solidFill>
                <a:srgbClr val="92D05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FF000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rgbClr val="FF000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030A0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7030A0"/>
            </a:solidFill>
            <a:ln w="9525">
              <a:solidFill>
                <a:srgbClr val="7030A0"/>
              </a:solidFill>
              <a:prstDash val="solid"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'Líneas (P1. Problema #8)'!$B$4:$B$5</c:f>
              <c:strCache>
                <c:ptCount val="1"/>
                <c:pt idx="0">
                  <c:v>Jade Gutiérrez</c:v>
                </c:pt>
              </c:strCache>
            </c:strRef>
          </c:tx>
          <c:spPr>
            <a:ln w="28575" cap="rnd">
              <a:solidFill>
                <a:srgbClr val="4285F4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'Líneas (P1. Problema #8)'!$A$6:$A$10</c:f>
              <c:strCache>
                <c:ptCount val="5"/>
                <c:pt idx="0">
                  <c:v>19/10/2025</c:v>
                </c:pt>
                <c:pt idx="1">
                  <c:v>21/10/2025</c:v>
                </c:pt>
                <c:pt idx="2">
                  <c:v>22/10/2025</c:v>
                </c:pt>
                <c:pt idx="3">
                  <c:v>23/10/2025</c:v>
                </c:pt>
                <c:pt idx="4">
                  <c:v>24/10/2025</c:v>
                </c:pt>
              </c:strCache>
            </c:strRef>
          </c:cat>
          <c:val>
            <c:numRef>
              <c:f>'Líneas (P1. Problema #8)'!$B$6:$B$10</c:f>
              <c:numCache>
                <c:formatCode>General</c:formatCode>
                <c:ptCount val="5"/>
                <c:pt idx="0">
                  <c:v>0</c:v>
                </c:pt>
                <c:pt idx="1">
                  <c:v>5</c:v>
                </c:pt>
                <c:pt idx="2">
                  <c:v>12</c:v>
                </c:pt>
                <c:pt idx="3">
                  <c:v>73</c:v>
                </c:pt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C6-4B19-91A3-AF65E33A210C}"/>
            </c:ext>
          </c:extLst>
        </c:ser>
        <c:ser>
          <c:idx val="1"/>
          <c:order val="1"/>
          <c:tx>
            <c:strRef>
              <c:f>'Líneas (P1. Problema #8)'!$C$4:$C$5</c:f>
              <c:strCache>
                <c:ptCount val="1"/>
                <c:pt idx="0">
                  <c:v>Jean Carlos Guillén</c:v>
                </c:pt>
              </c:strCache>
            </c:strRef>
          </c:tx>
          <c:spPr>
            <a:ln w="28575" cap="rnd">
              <a:solidFill>
                <a:srgbClr val="34A853"/>
              </a:solidFill>
              <a:prstDash val="solid"/>
              <a:round/>
            </a:ln>
            <a:effectLst/>
          </c:spPr>
          <c:marker>
            <c:symbol val="circle"/>
            <c:size val="6"/>
            <c:spPr>
              <a:solidFill>
                <a:srgbClr val="92D050"/>
              </a:solidFill>
              <a:ln w="9525">
                <a:solidFill>
                  <a:srgbClr val="92D050"/>
                </a:solidFill>
                <a:prstDash val="solid"/>
              </a:ln>
              <a:effectLst/>
            </c:spPr>
          </c:marker>
          <c:cat>
            <c:strRef>
              <c:f>'Líneas (P1. Problema #8)'!$A$6:$A$10</c:f>
              <c:strCache>
                <c:ptCount val="5"/>
                <c:pt idx="0">
                  <c:v>19/10/2025</c:v>
                </c:pt>
                <c:pt idx="1">
                  <c:v>21/10/2025</c:v>
                </c:pt>
                <c:pt idx="2">
                  <c:v>22/10/2025</c:v>
                </c:pt>
                <c:pt idx="3">
                  <c:v>23/10/2025</c:v>
                </c:pt>
                <c:pt idx="4">
                  <c:v>24/10/2025</c:v>
                </c:pt>
              </c:strCache>
            </c:strRef>
          </c:cat>
          <c:val>
            <c:numRef>
              <c:f>'Líneas (P1. Problema #8)'!$C$6:$C$10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13</c:v>
                </c:pt>
                <c:pt idx="3">
                  <c:v>0</c:v>
                </c:pt>
                <c:pt idx="4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C6-4B19-91A3-AF65E33A210C}"/>
            </c:ext>
          </c:extLst>
        </c:ser>
        <c:ser>
          <c:idx val="2"/>
          <c:order val="2"/>
          <c:tx>
            <c:strRef>
              <c:f>'Líneas (P1. Problema #8)'!$D$4:$D$5</c:f>
              <c:strCache>
                <c:ptCount val="1"/>
                <c:pt idx="0">
                  <c:v>Juan Diego Hernández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solid"/>
              </a:ln>
              <a:effectLst/>
            </c:spPr>
          </c:marker>
          <c:cat>
            <c:strRef>
              <c:f>'Líneas (P1. Problema #8)'!$A$6:$A$10</c:f>
              <c:strCache>
                <c:ptCount val="5"/>
                <c:pt idx="0">
                  <c:v>19/10/2025</c:v>
                </c:pt>
                <c:pt idx="1">
                  <c:v>21/10/2025</c:v>
                </c:pt>
                <c:pt idx="2">
                  <c:v>22/10/2025</c:v>
                </c:pt>
                <c:pt idx="3">
                  <c:v>23/10/2025</c:v>
                </c:pt>
                <c:pt idx="4">
                  <c:v>24/10/2025</c:v>
                </c:pt>
              </c:strCache>
            </c:strRef>
          </c:cat>
          <c:val>
            <c:numRef>
              <c:f>'Líneas (P1. Problema #8)'!$D$6:$D$10</c:f>
              <c:numCache>
                <c:formatCode>General</c:formatCode>
                <c:ptCount val="5"/>
                <c:pt idx="0">
                  <c:v>0</c:v>
                </c:pt>
                <c:pt idx="1">
                  <c:v>10</c:v>
                </c:pt>
                <c:pt idx="2">
                  <c:v>2</c:v>
                </c:pt>
                <c:pt idx="3">
                  <c:v>25</c:v>
                </c:pt>
                <c:pt idx="4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C6-4B19-91A3-AF65E33A210C}"/>
            </c:ext>
          </c:extLst>
        </c:ser>
        <c:ser>
          <c:idx val="3"/>
          <c:order val="3"/>
          <c:tx>
            <c:strRef>
              <c:f>'Líneas (P1. Problema #8)'!$E$4:$E$5</c:f>
              <c:strCache>
                <c:ptCount val="1"/>
                <c:pt idx="0">
                  <c:v>Luis Lee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cat>
            <c:strRef>
              <c:f>'Líneas (P1. Problema #8)'!$A$6:$A$10</c:f>
              <c:strCache>
                <c:ptCount val="5"/>
                <c:pt idx="0">
                  <c:v>19/10/2025</c:v>
                </c:pt>
                <c:pt idx="1">
                  <c:v>21/10/2025</c:v>
                </c:pt>
                <c:pt idx="2">
                  <c:v>22/10/2025</c:v>
                </c:pt>
                <c:pt idx="3">
                  <c:v>23/10/2025</c:v>
                </c:pt>
                <c:pt idx="4">
                  <c:v>24/10/2025</c:v>
                </c:pt>
              </c:strCache>
            </c:strRef>
          </c:cat>
          <c:val>
            <c:numRef>
              <c:f>'Líneas (P1. Problema #8)'!$E$6:$E$10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C6-4B19-91A3-AF65E33A2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0533511"/>
        <c:axId val="1520561671"/>
      </c:lineChart>
      <c:catAx>
        <c:axId val="1520533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61671"/>
        <c:crosses val="autoZero"/>
        <c:auto val="1"/>
        <c:lblAlgn val="ctr"/>
        <c:lblOffset val="100"/>
        <c:noMultiLvlLbl val="0"/>
      </c:catAx>
      <c:valAx>
        <c:axId val="1520561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0533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85537401070732E-2"/>
          <c:y val="0.9151709079843281"/>
          <c:w val="0.9"/>
          <c:h val="5.9083235285244527E-2"/>
        </c:manualLayout>
      </c:layout>
      <c:overlay val="0"/>
      <c:spPr>
        <a:solidFill>
          <a:srgbClr val="D9D9D9"/>
        </a:solidFill>
        <a:ln>
          <a:solidFill>
            <a:srgbClr val="A6A6A6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2F2F2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[Analisis_de_Encuesta.xlsx]Gráficas libres (Problema #9)!TablaDinámica1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9. Percepción del Impacto Futuro de la Computación Cuántica</a:t>
            </a:r>
          </a:p>
        </c:rich>
      </c:tx>
      <c:layout>
        <c:manualLayout>
          <c:xMode val="edge"/>
          <c:yMode val="edge"/>
          <c:x val="0.17825704219405"/>
          <c:y val="2.336584847359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7B4AE"/>
          </a:solidFill>
          <a:ln>
            <a:solidFill>
              <a:srgbClr val="F7B4AE"/>
            </a:solidFill>
            <a:prstDash val="solid"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rgbClr val="F7B4AE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BBC04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'Gráficas libres (Problema #9)'!$B$4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BBC04"/>
            </a:solidFill>
            <a:ln w="25400">
              <a:noFill/>
            </a:ln>
            <a:effectLst/>
          </c:spPr>
          <c:cat>
            <c:strRef>
              <c:f>'Gráficas libres (Problema #9)'!$A$5:$A$14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'Gráficas libres (Problema #9)'!$B$5:$B$14</c:f>
              <c:numCache>
                <c:formatCode>0.00%</c:formatCode>
                <c:ptCount val="10"/>
                <c:pt idx="0">
                  <c:v>2.8653295128939827E-3</c:v>
                </c:pt>
                <c:pt idx="1">
                  <c:v>5.7306590257879654E-3</c:v>
                </c:pt>
                <c:pt idx="2">
                  <c:v>8.5959885386819486E-3</c:v>
                </c:pt>
                <c:pt idx="3">
                  <c:v>2.5787965616045846E-2</c:v>
                </c:pt>
                <c:pt idx="4">
                  <c:v>3.7249283667621778E-2</c:v>
                </c:pt>
                <c:pt idx="5">
                  <c:v>6.8767908309455589E-2</c:v>
                </c:pt>
                <c:pt idx="6">
                  <c:v>0.12607449856733524</c:v>
                </c:pt>
                <c:pt idx="7">
                  <c:v>0.19484240687679083</c:v>
                </c:pt>
                <c:pt idx="8">
                  <c:v>0.16332378223495703</c:v>
                </c:pt>
                <c:pt idx="9">
                  <c:v>0.36676217765042979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5F-4C9F-87E3-929F060E8B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6363912"/>
        <c:axId val="1992410632"/>
      </c:areaChart>
      <c:catAx>
        <c:axId val="1986363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Nivel de impacto percibido (1–10)</a:t>
                </a:r>
              </a:p>
            </c:rich>
          </c:tx>
          <c:layout>
            <c:manualLayout>
              <c:xMode val="edge"/>
              <c:yMode val="edge"/>
              <c:x val="0.42701888644386871"/>
              <c:y val="0.902675086602369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410632"/>
        <c:crosses val="autoZero"/>
        <c:auto val="1"/>
        <c:lblAlgn val="ctr"/>
        <c:lblOffset val="100"/>
        <c:noMultiLvlLbl val="0"/>
      </c:catAx>
      <c:valAx>
        <c:axId val="1992410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Porcentajes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363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[Analisis_de_Encuesta.xlsx]Gráficas libres (Problema #9)!TablaDinámica2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 10. Interés en aprender computación cuántica (escala 1–5)</a:t>
            </a:r>
          </a:p>
        </c:rich>
      </c:tx>
      <c:layout>
        <c:manualLayout>
          <c:xMode val="edge"/>
          <c:yMode val="edge"/>
          <c:x val="9.0648730437854957E-2"/>
          <c:y val="3.10848643919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2F9299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2F9299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'Gráficas libres (Problema #9)'!$B$28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F9299"/>
              </a:solidFill>
              <a:prstDash val="solid"/>
              <a:round/>
            </a:ln>
            <a:effectLst/>
          </c:spPr>
          <c:marker>
            <c:symbol val="circle"/>
            <c:size val="7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'Gráficas libres (Problema #9)'!$A$29:$A$33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'Gráficas libres (Problema #9)'!$B$29:$B$33</c:f>
              <c:numCache>
                <c:formatCode>General</c:formatCode>
                <c:ptCount val="5"/>
                <c:pt idx="0">
                  <c:v>35</c:v>
                </c:pt>
                <c:pt idx="1">
                  <c:v>32</c:v>
                </c:pt>
                <c:pt idx="2">
                  <c:v>89</c:v>
                </c:pt>
                <c:pt idx="3">
                  <c:v>80</c:v>
                </c:pt>
                <c:pt idx="4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48E-493B-9ED1-A0B69EAFF2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544177672"/>
        <c:axId val="1544324104"/>
      </c:radarChart>
      <c:catAx>
        <c:axId val="1544177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324104"/>
        <c:crosses val="autoZero"/>
        <c:auto val="1"/>
        <c:lblAlgn val="ctr"/>
        <c:lblOffset val="100"/>
        <c:noMultiLvlLbl val="0"/>
      </c:catAx>
      <c:valAx>
        <c:axId val="15443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77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[Analisis_de_Encuesta.xlsx]Gráfica Likert (P1.Problema#10)!TablaDinámica6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Gráfica 11. Percepción de Accesibilidad del Estudio de Computación Cuántica en Panamá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A4335"/>
          </a:solidFill>
          <a:ln>
            <a:noFill/>
          </a:ln>
          <a:effectLst/>
        </c:spPr>
      </c:pivotFmt>
      <c:pivotFmt>
        <c:idx val="2"/>
        <c:spPr>
          <a:solidFill>
            <a:srgbClr val="FFC000"/>
          </a:solidFill>
          <a:ln>
            <a:noFill/>
          </a:ln>
          <a:effectLst/>
        </c:spPr>
      </c:pivotFmt>
      <c:pivotFmt>
        <c:idx val="3"/>
        <c:spPr>
          <a:solidFill>
            <a:srgbClr val="34A853"/>
          </a:solidFill>
          <a:ln>
            <a:noFill/>
          </a:ln>
          <a:effectLst/>
        </c:spPr>
      </c:pivotFmt>
      <c:pivotFmt>
        <c:idx val="4"/>
        <c:spPr>
          <a:solidFill>
            <a:srgbClr val="46BDC6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'Gráfica Likert (P1.Problema#10)'!$B$4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A43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C0-4545-88DE-4C80A0D9FE2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C0-4545-88DE-4C80A0D9FE2D}"/>
              </c:ext>
            </c:extLst>
          </c:dPt>
          <c:dPt>
            <c:idx val="2"/>
            <c:invertIfNegative val="0"/>
            <c:bubble3D val="0"/>
            <c:spPr>
              <a:solidFill>
                <a:srgbClr val="34A85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C0-4545-88DE-4C80A0D9FE2D}"/>
              </c:ext>
            </c:extLst>
          </c:dPt>
          <c:dPt>
            <c:idx val="3"/>
            <c:invertIfNegative val="0"/>
            <c:bubble3D val="0"/>
            <c:spPr>
              <a:solidFill>
                <a:srgbClr val="46BDC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C0-4545-88DE-4C80A0D9FE2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'Gráfica Likert (P1.Problema#10)'!$A$5:$A$10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'Gráfica Likert (P1.Problema#10)'!$B$5:$B$10</c:f>
              <c:numCache>
                <c:formatCode>General</c:formatCode>
                <c:ptCount val="5"/>
                <c:pt idx="0">
                  <c:v>124</c:v>
                </c:pt>
                <c:pt idx="1">
                  <c:v>106</c:v>
                </c:pt>
                <c:pt idx="2">
                  <c:v>104</c:v>
                </c:pt>
                <c:pt idx="3">
                  <c:v>11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0-4545-88DE-4C80A0D9FE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9006472"/>
        <c:axId val="187278344"/>
      </c:barChart>
      <c:catAx>
        <c:axId val="179006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278344"/>
        <c:crosses val="autoZero"/>
        <c:auto val="1"/>
        <c:lblAlgn val="ctr"/>
        <c:lblOffset val="100"/>
        <c:noMultiLvlLbl val="0"/>
      </c:catAx>
      <c:valAx>
        <c:axId val="187278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06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Gráfica 3. Distribución de edades de los estudiantes encuestados de la Facultad de Ingeniería en Sistemas Computacionales (UTP)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b="1">
              <a:solidFill>
                <a:srgbClr val="000000"/>
              </a:solidFill>
            </a:rPr>
            <a:t>Gráfica 3. Distribución de edades de los estudiantes encuestados de la Facultad de Ingeniería en Sistemas Computacionales (UTP)</a:t>
          </a:r>
        </a:p>
      </cx:txPr>
    </cx:title>
    <cx:plotArea>
      <cx:plotAreaRegion>
        <cx:series layoutId="clusteredColumn" uniqueId="{00000000-7DAF-4EFE-A136-07C42A3159A1}">
          <cx:tx>
            <cx:txData>
              <cx:f>_xlchart.v1.0</cx:f>
              <cx:v>Edad</cx:v>
            </cx:txData>
          </cx:tx>
          <cx:spPr>
            <a:solidFill>
              <a:srgbClr val="8ED7DD"/>
            </a:solidFill>
            <a:ln w="12700">
              <a:solidFill>
                <a:srgbClr val="000000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1200">
                  <a:solidFill>
                    <a:srgbClr val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Edad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400" b="1" i="0">
                  <a:solidFill>
                    <a:srgbClr val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sz="1400" b="1">
                  <a:solidFill>
                    <a:srgbClr val="000000"/>
                  </a:solidFill>
                </a:rPr>
                <a:t>Edad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Frecuencia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sz="1600" b="1">
                  <a:solidFill>
                    <a:srgbClr val="000000"/>
                  </a:solidFill>
                </a:rPr>
                <a:t>Frecuencia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Gráfica 4. Distribución del tiempo dedicado al estudio de la computación cuántica por los estudiantes encuestados de la Facultad de Ingeniería en Sistemas Computaciones (UTP)</cx:v>
        </cx:txData>
      </cx:tx>
      <cx:txPr>
        <a:bodyPr vertOverflow="overflow" horzOverflow="overflow" wrap="square" lIns="0" tIns="0" rIns="0" bIns="0"/>
        <a:lstStyle/>
        <a:p>
          <a:pPr algn="ctr" rtl="0">
            <a:defRPr sz="1600" b="1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rPr sz="1600" b="1">
              <a:solidFill>
                <a:srgbClr val="000000"/>
              </a:solidFill>
            </a:rPr>
            <a:t>Gráfica 4. Distribución del tiempo dedicado al estudio de la computación cuántica por los estudiantes encuestados de la Facultad de Ingeniería en Sistemas Computaciones (UTP)</a:t>
          </a:r>
        </a:p>
      </cx:txPr>
    </cx:title>
    <cx:plotArea>
      <cx:plotAreaRegion>
        <cx:series layoutId="clusteredColumn" uniqueId="{00000000-E0E7-4889-9F7D-34048C7A3066}">
          <cx:tx>
            <cx:txData>
              <cx:f>_xlchart.v1.2</cx:f>
              <cx:v>Tiempo de Estudio</cx:v>
            </cx:txData>
          </cx:tx>
          <cx:spPr>
            <a:solidFill>
              <a:srgbClr val="A6E3B7"/>
            </a:solidFill>
            <a:ln w="12700">
              <a:solidFill>
                <a:srgbClr val="000000"/>
              </a:solidFill>
              <a:prstDash val="solid"/>
            </a:ln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600" b="0" i="0">
                    <a:solidFill>
                      <a:srgbClr val="000000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sz="1600">
                  <a:solidFill>
                    <a:srgbClr val="000000"/>
                  </a:solidFill>
                </a:endParaRPr>
              </a:p>
            </cx:txPr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Horas dedicadas al estudio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sz="1600" b="1">
                  <a:solidFill>
                    <a:srgbClr val="000000"/>
                  </a:solidFill>
                </a:rPr>
                <a:t>Horas dedicadas al estudio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Frecuencia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1600" b="1" i="0">
                  <a:solidFill>
                    <a:srgbClr val="000000"/>
                  </a:solidFill>
                  <a:latin typeface="Arial" panose="020B0604020202020204" pitchFamily="34" charset="0"/>
                  <a:ea typeface="Arial" panose="020B0604020202020204" pitchFamily="34" charset="0"/>
                  <a:cs typeface="Arial" panose="020B0604020202020204" pitchFamily="34" charset="0"/>
                </a:defRPr>
              </a:pPr>
              <a:r>
                <a:rPr sz="1600" b="1">
                  <a:solidFill>
                    <a:srgbClr val="000000"/>
                  </a:solidFill>
                </a:rPr>
                <a:t>Frecuencia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600" b="1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1600" b="1">
              <a:solidFill>
                <a:srgbClr val="000000"/>
              </a:solidFill>
            </a:endParaRPr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Gráfica 5. Nivel de conocimiento sobre computación cuántica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Gráfica 5. Nivel de conocimiento sobre computación cuántica</a:t>
          </a:r>
        </a:p>
      </cx:txPr>
    </cx:title>
    <cx:plotArea>
      <cx:plotAreaRegion>
        <cx:series layoutId="boxWhisker" uniqueId="{00000002-2274-4190-B23A-A89C086068AE}">
          <cx:spPr>
            <a:solidFill>
              <a:srgbClr val="FBBC04"/>
            </a:solidFill>
            <a:ln w="12700">
              <a:solidFill>
                <a:srgbClr val="000000"/>
              </a:solidFill>
              <a:prstDash val="solid"/>
            </a:ln>
          </cx:spPr>
          <cx:dataId val="0"/>
          <cx:layoutPr>
            <cx:statistics quartileMethod="exclusive"/>
          </cx:layoutPr>
        </cx:series>
      </cx:plotAreaRegion>
      <cx:axis id="0" hidden="1">
        <cx:catScaling gapWidth="1"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Gráfico 6. Disposición mensual a invertir en educación en Computación Cuántica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Gráfico 6. Disposición mensual a invertir en educación en Computación Cuántica</a:t>
          </a:r>
        </a:p>
      </cx:txPr>
    </cx:title>
    <cx:plotArea>
      <cx:plotAreaRegion>
        <cx:series layoutId="boxWhisker" uniqueId="{00000002-D65F-4CF0-80AC-606AAF4AA16E}">
          <cx:spPr>
            <a:solidFill>
              <a:srgbClr val="D9D9D9"/>
            </a:solidFill>
          </cx:spPr>
          <cx:dataId val="0"/>
          <cx:layoutPr>
            <cx:statistics quartileMethod="exclusive"/>
          </cx:layoutPr>
        </cx:series>
      </cx:plotAreaRegion>
      <cx:axis id="0">
        <cx:catScaling gapWidth="1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>
          <cx:spPr>
            <a:ln w="12700">
              <a:solidFill>
                <a:srgbClr val="D9D9D9"/>
              </a:solidFill>
              <a:prstDash val="solid"/>
            </a:ln>
          </cx:spPr>
        </cx:majorGridlines>
        <cx:tickLabels/>
        <cx:spPr>
          <a:ln w="12700">
            <a:solidFill>
              <a:srgbClr val="A6A6A6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1200"/>
          </a:p>
        </cx:txPr>
      </cx:axis>
    </cx:plotArea>
  </cx:chart>
  <cx:spPr>
    <a:solidFill>
      <a:srgbClr val="FFFFFF"/>
    </a:solidFill>
    <a:ln w="12700">
      <a:solidFill>
        <a:srgbClr val="808080"/>
      </a:solidFill>
      <a:prstDash val="solid"/>
    </a:ln>
  </cx:spPr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Gráfico 7. Familiaridad con principios básicos de computación cuántica (Superposición, entrelazamiento, etc.)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Gráfico 7. Familiaridad con principios básicos de computación cuántica (Superposición, entrelazamiento, etc.)</a:t>
          </a:r>
        </a:p>
      </cx:txPr>
    </cx:title>
    <cx:plotArea>
      <cx:plotAreaRegion>
        <cx:series layoutId="boxWhisker" uniqueId="{00000001-F8D3-4F7C-A3DA-72A01D4D4C43}">
          <cx:dataId val="0"/>
          <cx:layoutPr>
            <cx:statistics quartileMethod="exclusive"/>
          </cx:layoutPr>
        </cx:series>
      </cx:plotAreaRegion>
      <cx:axis id="0">
        <cx:catScaling gapWidth="1"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 max="5" min="1"/>
        <cx:majorGridlines/>
        <cx:tickLabels/>
        <cx:spPr>
          <a:ln w="12700">
            <a:solidFill>
              <a:srgbClr val="8ED7DD"/>
            </a:solidFill>
            <a:prstDash val="solid"/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</cx:chartData>
  <cx:chart>
    <cx:title pos="t" align="ctr" overlay="0">
      <cx:tx>
        <cx:txData>
          <cx:v>Gráfica Extra. Interés en Participar en Proyectos relacionados a la Computación Cuántica según Carrera de Estudio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Gráfica Extra. Interés en Participar en Proyectos relacionados a la Computación Cuántica según Carrera de Estudio</a:t>
          </a:r>
        </a:p>
      </cx:txPr>
    </cx:title>
    <cx:plotArea>
      <cx:plotAreaRegion>
        <cx:series layoutId="boxWhisker" uniqueId="{00000000-6881-43F7-BB3A-837E70382CE6}">
          <cx:tx>
            <cx:txData>
              <cx:f>_xlchart.v1.8</cx:f>
              <cx:v>Interés en Participar</cx:v>
            </cx:txData>
          </cx:tx>
          <cx:spPr>
            <a:solidFill>
              <a:srgbClr val="FBBC04"/>
            </a:solidFill>
            <a:ln w="12700">
              <a:solidFill>
                <a:srgbClr val="000000"/>
              </a:solidFill>
              <a:prstDash val="solid"/>
            </a:ln>
          </cx:spPr>
          <cx:dataLabels pos="r"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  <cx:separator>, </cx:separator>
          </cx:dataLabels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sz="900"/>
          </a:p>
        </cx:txPr>
      </cx:axis>
      <cx:axis id="1">
        <cx:valScaling max="6"/>
        <cx:title>
          <cx:tx>
            <cx:txData>
              <cx:v>Interés en Participar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Interés en Participar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9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0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tmp"/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tmp"/><Relationship Id="rId1" Type="http://schemas.openxmlformats.org/officeDocument/2006/relationships/image" Target="../media/image3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7.xml.rels><?xml version="1.0" encoding="UTF-8" standalone="yes"?>
<Relationships xmlns="http://schemas.openxmlformats.org/package/2006/relationships"><Relationship Id="rId3" Type="http://schemas.microsoft.com/office/2014/relationships/chartEx" Target="../charts/chartEx6.xml"/><Relationship Id="rId2" Type="http://schemas.microsoft.com/office/2014/relationships/chartEx" Target="../charts/chartEx5.xml"/><Relationship Id="rId1" Type="http://schemas.microsoft.com/office/2014/relationships/chartEx" Target="../charts/chartEx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19050</xdr:rowOff>
    </xdr:from>
    <xdr:to>
      <xdr:col>4</xdr:col>
      <xdr:colOff>381000</xdr:colOff>
      <xdr:row>18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5F7B574-FDE3-CAD3-C3B3-4CC2FA23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133600"/>
          <a:ext cx="4562475" cy="2771775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3</xdr:row>
      <xdr:rowOff>0</xdr:rowOff>
    </xdr:from>
    <xdr:to>
      <xdr:col>12</xdr:col>
      <xdr:colOff>485775</xdr:colOff>
      <xdr:row>18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CDB5EB-AAAB-A351-BF72-87212F0C2604}"/>
            </a:ext>
            <a:ext uri="{147F2762-F138-4A5C-976F-8EAC2B608ADB}">
              <a16:predDERef xmlns:a16="http://schemas.microsoft.com/office/drawing/2014/main" pred="{55F7B574-FDE3-CAD3-C3B3-4CC2FA23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2114550"/>
          <a:ext cx="4905375" cy="2790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1628775</xdr:rowOff>
    </xdr:from>
    <xdr:to>
      <xdr:col>4</xdr:col>
      <xdr:colOff>304800</xdr:colOff>
      <xdr:row>17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C467E7A-5F29-4292-5E19-474DECCC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95525"/>
          <a:ext cx="4572000" cy="2295525"/>
        </a:xfrm>
        <a:prstGeom prst="rect">
          <a:avLst/>
        </a:prstGeom>
      </xdr:spPr>
    </xdr:pic>
    <xdr:clientData/>
  </xdr:twoCellAnchor>
  <xdr:twoCellAnchor editAs="oneCell">
    <xdr:from>
      <xdr:col>4</xdr:col>
      <xdr:colOff>514350</xdr:colOff>
      <xdr:row>2</xdr:row>
      <xdr:rowOff>1609725</xdr:rowOff>
    </xdr:from>
    <xdr:to>
      <xdr:col>12</xdr:col>
      <xdr:colOff>190500</xdr:colOff>
      <xdr:row>31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B9C67D-A6E7-59F9-554F-B8A5619FE80C}"/>
            </a:ext>
            <a:ext uri="{147F2762-F138-4A5C-976F-8EAC2B608ADB}">
              <a16:predDERef xmlns:a16="http://schemas.microsoft.com/office/drawing/2014/main" pred="{3C467E7A-5F29-4292-5E19-474DECCC8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2276475"/>
          <a:ext cx="455295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11</xdr:row>
      <xdr:rowOff>66675</xdr:rowOff>
    </xdr:from>
    <xdr:to>
      <xdr:col>2</xdr:col>
      <xdr:colOff>952500</xdr:colOff>
      <xdr:row>39</xdr:row>
      <xdr:rowOff>38100</xdr:rowOff>
    </xdr:to>
    <xdr:graphicFrame macro="">
      <xdr:nvGraphicFramePr>
        <xdr:cNvPr id="166" name="Gráfico 1">
          <a:extLst>
            <a:ext uri="{FF2B5EF4-FFF2-40B4-BE49-F238E27FC236}">
              <a16:creationId xmlns:a16="http://schemas.microsoft.com/office/drawing/2014/main" id="{7C557F95-F5BA-3504-6C68-AEBE24F639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209550</xdr:colOff>
      <xdr:row>2</xdr:row>
      <xdr:rowOff>104775</xdr:rowOff>
    </xdr:from>
    <xdr:to>
      <xdr:col>12</xdr:col>
      <xdr:colOff>276225</xdr:colOff>
      <xdr:row>23</xdr:row>
      <xdr:rowOff>123825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0F9BEE6C-277E-6BEC-A852-D59628251A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95250</xdr:rowOff>
    </xdr:from>
    <xdr:to>
      <xdr:col>27</xdr:col>
      <xdr:colOff>409575</xdr:colOff>
      <xdr:row>35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AD19A819-202C-F66A-47BF-9DF35818C848}"/>
                </a:ext>
                <a:ext uri="{147F2762-F138-4A5C-976F-8EAC2B608ADB}">
                  <a16:predDERef xmlns:a16="http://schemas.microsoft.com/office/drawing/2014/main" pred="{D03DB94F-FDB0-F7F5-B691-B1C3A37A24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  <xdr:twoCellAnchor>
    <xdr:from>
      <xdr:col>30</xdr:col>
      <xdr:colOff>19050</xdr:colOff>
      <xdr:row>3</xdr:row>
      <xdr:rowOff>104775</xdr:rowOff>
    </xdr:from>
    <xdr:to>
      <xdr:col>54</xdr:col>
      <xdr:colOff>123825</xdr:colOff>
      <xdr:row>34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06D6DA75-786B-3784-ACDB-407FAF12F61A}"/>
                </a:ext>
                <a:ext uri="{147F2762-F138-4A5C-976F-8EAC2B608ADB}">
                  <a16:predDERef xmlns:a16="http://schemas.microsoft.com/office/drawing/2014/main" pred="{AD19A819-202C-F66A-47BF-9DF35818C8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1257300</xdr:rowOff>
    </xdr:from>
    <xdr:to>
      <xdr:col>10</xdr:col>
      <xdr:colOff>590550</xdr:colOff>
      <xdr:row>17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Gráfico 29">
              <a:extLst>
                <a:ext uri="{FF2B5EF4-FFF2-40B4-BE49-F238E27FC236}">
                  <a16:creationId xmlns:a16="http://schemas.microsoft.com/office/drawing/2014/main" id="{AD36D87F-9AC0-12C1-BC88-B7ACF9B6B6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828675</xdr:colOff>
      <xdr:row>0</xdr:row>
      <xdr:rowOff>0</xdr:rowOff>
    </xdr:from>
    <xdr:to>
      <xdr:col>11</xdr:col>
      <xdr:colOff>600075</xdr:colOff>
      <xdr:row>16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3">
              <a:extLst>
                <a:ext uri="{FF2B5EF4-FFF2-40B4-BE49-F238E27FC236}">
                  <a16:creationId xmlns:a16="http://schemas.microsoft.com/office/drawing/2014/main" id="{37104FFD-8E09-0296-590A-133B8B5B30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  <xdr:twoCellAnchor>
    <xdr:from>
      <xdr:col>4</xdr:col>
      <xdr:colOff>819150</xdr:colOff>
      <xdr:row>106</xdr:row>
      <xdr:rowOff>0</xdr:rowOff>
    </xdr:from>
    <xdr:to>
      <xdr:col>11</xdr:col>
      <xdr:colOff>533400</xdr:colOff>
      <xdr:row>125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1">
              <a:extLst>
                <a:ext uri="{FF2B5EF4-FFF2-40B4-BE49-F238E27FC236}">
                  <a16:creationId xmlns:a16="http://schemas.microsoft.com/office/drawing/2014/main" id="{1CEB74C6-D30C-B35F-5447-D700C4FD5527}"/>
                </a:ext>
                <a:ext uri="{147F2762-F138-4A5C-976F-8EAC2B608ADB}">
                  <a16:predDERef xmlns:a16="http://schemas.microsoft.com/office/drawing/2014/main" pred="{37104FFD-8E09-0296-590A-133B8B5B30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  <xdr:twoCellAnchor>
    <xdr:from>
      <xdr:col>2</xdr:col>
      <xdr:colOff>390525</xdr:colOff>
      <xdr:row>130</xdr:row>
      <xdr:rowOff>9525</xdr:rowOff>
    </xdr:from>
    <xdr:to>
      <xdr:col>17</xdr:col>
      <xdr:colOff>104775</xdr:colOff>
      <xdr:row>158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Gráfico 20">
              <a:extLst>
                <a:ext uri="{FF2B5EF4-FFF2-40B4-BE49-F238E27FC236}">
                  <a16:creationId xmlns:a16="http://schemas.microsoft.com/office/drawing/2014/main" id="{80B81020-38DA-6694-D569-8BE91B08FC5C}"/>
                </a:ext>
                <a:ext uri="{147F2762-F138-4A5C-976F-8EAC2B608ADB}">
                  <a16:predDERef xmlns:a16="http://schemas.microsoft.com/office/drawing/2014/main" pred="{1CEB74C6-D30C-B35F-5447-D700C4FD55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Este gráfico no está disponible en su versión de Excel.
Si edita esta forma o guarda el libro en un formato de archivo diferente, el gráfico no se podrá usar.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10</xdr:row>
      <xdr:rowOff>152400</xdr:rowOff>
    </xdr:from>
    <xdr:to>
      <xdr:col>4</xdr:col>
      <xdr:colOff>619125</xdr:colOff>
      <xdr:row>36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1ACF69-6419-DFC5-3684-47FDA81F6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247650</xdr:colOff>
      <xdr:row>2</xdr:row>
      <xdr:rowOff>9525</xdr:rowOff>
    </xdr:from>
    <xdr:to>
      <xdr:col>11</xdr:col>
      <xdr:colOff>66675</xdr:colOff>
      <xdr:row>20</xdr:row>
      <xdr:rowOff>38100</xdr:rowOff>
    </xdr:to>
    <xdr:graphicFrame macro="">
      <xdr:nvGraphicFramePr>
        <xdr:cNvPr id="63" name="Gráfico 6">
          <a:extLst>
            <a:ext uri="{FF2B5EF4-FFF2-40B4-BE49-F238E27FC236}">
              <a16:creationId xmlns:a16="http://schemas.microsoft.com/office/drawing/2014/main" id="{6D034884-DAF9-49CD-B9DC-535F64EF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428625</xdr:colOff>
      <xdr:row>26</xdr:row>
      <xdr:rowOff>9525</xdr:rowOff>
    </xdr:from>
    <xdr:to>
      <xdr:col>9</xdr:col>
      <xdr:colOff>390525</xdr:colOff>
      <xdr:row>49</xdr:row>
      <xdr:rowOff>95250</xdr:rowOff>
    </xdr:to>
    <xdr:graphicFrame macro="">
      <xdr:nvGraphicFramePr>
        <xdr:cNvPr id="79" name="Gráfico 7">
          <a:extLst>
            <a:ext uri="{FF2B5EF4-FFF2-40B4-BE49-F238E27FC236}">
              <a16:creationId xmlns:a16="http://schemas.microsoft.com/office/drawing/2014/main" id="{30BD9A9B-B959-ECCC-A347-8E22C1D1EC0D}"/>
            </a:ext>
            <a:ext uri="{147F2762-F138-4A5C-976F-8EAC2B608ADB}">
              <a16:predDERef xmlns:a16="http://schemas.microsoft.com/office/drawing/2014/main" pred="{6D034884-DAF9-49CD-B9DC-535F64EFDE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1</xdr:row>
      <xdr:rowOff>295275</xdr:rowOff>
    </xdr:from>
    <xdr:to>
      <xdr:col>10</xdr:col>
      <xdr:colOff>552450</xdr:colOff>
      <xdr:row>10</xdr:row>
      <xdr:rowOff>133350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A35492-2947-0528-1B18-A89AC9680E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3</xdr:col>
      <xdr:colOff>19050</xdr:colOff>
      <xdr:row>16</xdr:row>
      <xdr:rowOff>9525</xdr:rowOff>
    </xdr:to>
    <xdr:sp macro="" textlink="">
      <xdr:nvSpPr>
        <xdr:cNvPr id="60" name="CuadroTexto 1">
          <a:extLst>
            <a:ext uri="{FF2B5EF4-FFF2-40B4-BE49-F238E27FC236}">
              <a16:creationId xmlns:a16="http://schemas.microsoft.com/office/drawing/2014/main" id="{FE028834-166B-D1BA-89A9-BB1C48807575}"/>
            </a:ext>
          </a:extLst>
        </xdr:cNvPr>
        <xdr:cNvSpPr txBox="1"/>
      </xdr:nvSpPr>
      <xdr:spPr>
        <a:xfrm>
          <a:off x="28575" y="1838325"/>
          <a:ext cx="4743450" cy="9620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La mayoría de los encuestados tiene un nivel de conocimiento bajo (promedio 2,01), concentrado principalmente entre los niveles 1 y 2, lo que refleja conocimiento inicial o básico sobre el tema.</a:t>
          </a:r>
        </a:p>
      </xdr:txBody>
    </xdr:sp>
    <xdr:clientData/>
  </xdr:twoCellAnchor>
  <xdr:twoCellAnchor>
    <xdr:from>
      <xdr:col>3</xdr:col>
      <xdr:colOff>590550</xdr:colOff>
      <xdr:row>9</xdr:row>
      <xdr:rowOff>114300</xdr:rowOff>
    </xdr:from>
    <xdr:to>
      <xdr:col>7</xdr:col>
      <xdr:colOff>9525</xdr:colOff>
      <xdr:row>15</xdr:row>
      <xdr:rowOff>133350</xdr:rowOff>
    </xdr:to>
    <xdr:sp macro="" textlink="">
      <xdr:nvSpPr>
        <xdr:cNvPr id="56" name="CuadroTexto 2">
          <a:extLst>
            <a:ext uri="{FF2B5EF4-FFF2-40B4-BE49-F238E27FC236}">
              <a16:creationId xmlns:a16="http://schemas.microsoft.com/office/drawing/2014/main" id="{86FFAF47-172D-4A0B-BADA-CD9FAC66D15F}"/>
            </a:ext>
            <a:ext uri="{147F2762-F138-4A5C-976F-8EAC2B608ADB}">
              <a16:predDERef xmlns:a16="http://schemas.microsoft.com/office/drawing/2014/main" pred="{FE028834-166B-D1BA-89A9-BB1C48807575}"/>
            </a:ext>
          </a:extLst>
        </xdr:cNvPr>
        <xdr:cNvSpPr txBox="1"/>
      </xdr:nvSpPr>
      <xdr:spPr>
        <a:xfrm>
          <a:off x="5343525" y="1771650"/>
          <a:ext cx="4829175" cy="9906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La mayoría de los participantes presenta una familiaridad baja con el tema (promedio 2,06), predominando los niveles 1 y 2, lo que indica que aún no están muy acostumbrados o relacionados con el concepto.</a:t>
          </a:r>
        </a:p>
      </xdr:txBody>
    </xdr:sp>
    <xdr:clientData/>
  </xdr:twoCellAnchor>
  <xdr:twoCellAnchor>
    <xdr:from>
      <xdr:col>0</xdr:col>
      <xdr:colOff>0</xdr:colOff>
      <xdr:row>24</xdr:row>
      <xdr:rowOff>180975</xdr:rowOff>
    </xdr:from>
    <xdr:to>
      <xdr:col>2</xdr:col>
      <xdr:colOff>1609725</xdr:colOff>
      <xdr:row>31</xdr:row>
      <xdr:rowOff>0</xdr:rowOff>
    </xdr:to>
    <xdr:sp macro="" textlink="">
      <xdr:nvSpPr>
        <xdr:cNvPr id="63" name="CuadroTexto 3">
          <a:extLst>
            <a:ext uri="{FF2B5EF4-FFF2-40B4-BE49-F238E27FC236}">
              <a16:creationId xmlns:a16="http://schemas.microsoft.com/office/drawing/2014/main" id="{E0BBA763-1B1E-4406-A94D-10BE8D4DBA84}"/>
            </a:ext>
            <a:ext uri="{147F2762-F138-4A5C-976F-8EAC2B608ADB}">
              <a16:predDERef xmlns:a16="http://schemas.microsoft.com/office/drawing/2014/main" pred="{86FFAF47-172D-4A0B-BADA-CD9FAC66D15F}"/>
            </a:ext>
          </a:extLst>
        </xdr:cNvPr>
        <xdr:cNvSpPr txBox="1"/>
      </xdr:nvSpPr>
      <xdr:spPr>
        <a:xfrm>
          <a:off x="0" y="4467225"/>
          <a:ext cx="4743450" cy="10382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La mayoría muestra un alto interés en aprender (promedio 3,58), con predominio en los niveles 4 y 5, lo que refleja una actitud positiva y motivada hacia el aprendizaje del tema.</a:t>
          </a:r>
        </a:p>
      </xdr:txBody>
    </xdr:sp>
    <xdr:clientData/>
  </xdr:twoCellAnchor>
  <xdr:twoCellAnchor>
    <xdr:from>
      <xdr:col>4</xdr:col>
      <xdr:colOff>0</xdr:colOff>
      <xdr:row>24</xdr:row>
      <xdr:rowOff>171450</xdr:rowOff>
    </xdr:from>
    <xdr:to>
      <xdr:col>7</xdr:col>
      <xdr:colOff>0</xdr:colOff>
      <xdr:row>31</xdr:row>
      <xdr:rowOff>28575</xdr:rowOff>
    </xdr:to>
    <xdr:sp macro="" textlink="">
      <xdr:nvSpPr>
        <xdr:cNvPr id="64" name="CuadroTexto 4">
          <a:extLst>
            <a:ext uri="{FF2B5EF4-FFF2-40B4-BE49-F238E27FC236}">
              <a16:creationId xmlns:a16="http://schemas.microsoft.com/office/drawing/2014/main" id="{B1587ABE-3F49-4596-8CB3-84E3F52D6851}"/>
            </a:ext>
            <a:ext uri="{147F2762-F138-4A5C-976F-8EAC2B608ADB}">
              <a16:predDERef xmlns:a16="http://schemas.microsoft.com/office/drawing/2014/main" pred="{E0BBA763-1B1E-4406-A94D-10BE8D4DBA84}"/>
            </a:ext>
          </a:extLst>
        </xdr:cNvPr>
        <xdr:cNvSpPr txBox="1"/>
      </xdr:nvSpPr>
      <xdr:spPr>
        <a:xfrm>
          <a:off x="5362575" y="4457700"/>
          <a:ext cx="4800600" cy="107632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El nivel de interés en participar es moderado (promedio 2,94), con respuestas distribuidas, aunque una parte considerable muestra disposición alta a involucrarse.</a:t>
          </a:r>
        </a:p>
      </xdr:txBody>
    </xdr:sp>
    <xdr:clientData/>
  </xdr:twoCellAnchor>
  <xdr:twoCellAnchor>
    <xdr:from>
      <xdr:col>0</xdr:col>
      <xdr:colOff>0</xdr:colOff>
      <xdr:row>45</xdr:row>
      <xdr:rowOff>0</xdr:rowOff>
    </xdr:from>
    <xdr:to>
      <xdr:col>2</xdr:col>
      <xdr:colOff>1609725</xdr:colOff>
      <xdr:row>50</xdr:row>
      <xdr:rowOff>142875</xdr:rowOff>
    </xdr:to>
    <xdr:sp macro="" textlink="">
      <xdr:nvSpPr>
        <xdr:cNvPr id="67" name="CuadroTexto 6">
          <a:extLst>
            <a:ext uri="{FF2B5EF4-FFF2-40B4-BE49-F238E27FC236}">
              <a16:creationId xmlns:a16="http://schemas.microsoft.com/office/drawing/2014/main" id="{EFA99B6C-5B75-4B21-8E1A-6AA8B3222744}"/>
            </a:ext>
            <a:ext uri="{147F2762-F138-4A5C-976F-8EAC2B608ADB}">
              <a16:predDERef xmlns:a16="http://schemas.microsoft.com/office/drawing/2014/main" pred="{B1587ABE-3F49-4596-8CB3-84E3F52D6851}"/>
            </a:ext>
          </a:extLst>
        </xdr:cNvPr>
        <xdr:cNvSpPr txBox="1"/>
      </xdr:nvSpPr>
      <xdr:spPr>
        <a:xfrm>
          <a:off x="0" y="8115300"/>
          <a:ext cx="4743450" cy="95250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El impacto futuro percibido es alto (promedio 8,32), con mayoría en los niveles 8, 9 y 10, lo que refleja una visión positiva y optimista sobre los beneficios a largo plazo del tema.</a:t>
          </a:r>
        </a:p>
      </xdr:txBody>
    </xdr:sp>
    <xdr:clientData/>
  </xdr:twoCellAnchor>
  <xdr:twoCellAnchor>
    <xdr:from>
      <xdr:col>4</xdr:col>
      <xdr:colOff>0</xdr:colOff>
      <xdr:row>40</xdr:row>
      <xdr:rowOff>0</xdr:rowOff>
    </xdr:from>
    <xdr:to>
      <xdr:col>7</xdr:col>
      <xdr:colOff>9525</xdr:colOff>
      <xdr:row>45</xdr:row>
      <xdr:rowOff>19050</xdr:rowOff>
    </xdr:to>
    <xdr:sp macro="" textlink="">
      <xdr:nvSpPr>
        <xdr:cNvPr id="71" name="CuadroTexto 7">
          <a:extLst>
            <a:ext uri="{FF2B5EF4-FFF2-40B4-BE49-F238E27FC236}">
              <a16:creationId xmlns:a16="http://schemas.microsoft.com/office/drawing/2014/main" id="{CFC0515A-EB9D-42FE-8B48-4C66B8B51651}"/>
            </a:ext>
            <a:ext uri="{147F2762-F138-4A5C-976F-8EAC2B608ADB}">
              <a16:predDERef xmlns:a16="http://schemas.microsoft.com/office/drawing/2014/main" pred="{EFA99B6C-5B75-4B21-8E1A-6AA8B3222744}"/>
            </a:ext>
          </a:extLst>
        </xdr:cNvPr>
        <xdr:cNvSpPr txBox="1"/>
      </xdr:nvSpPr>
      <xdr:spPr>
        <a:xfrm>
          <a:off x="5362575" y="7191375"/>
          <a:ext cx="4810125" cy="9429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Interpretación: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El nivel de accesibilidad percibido es bajo (promedio 2,04), predominando los niveles 1 y 2, lo que sugiere que la mayoría considera que el acceso al tema o recurso aún es limitado.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025581250004" createdVersion="8" refreshedVersion="8" minRefreshableVersion="3" recordCount="349" xr:uid="{9CE34BE7-90B3-4124-88AF-DDBF868638E4}">
  <cacheSource type="worksheet">
    <worksheetSource name="Form_Responses"/>
  </cacheSource>
  <cacheFields count="28">
    <cacheField name="Marca Temporal" numFmtId="164">
      <sharedItems containsSemiMixedTypes="0" containsNonDate="0" containsDate="1" containsString="0" minDate="2025-10-19T21:48:26" maxDate="2025-10-24T22:51:01"/>
    </cacheField>
    <cacheField name="Correo Electrónico" numFmtId="0">
      <sharedItems count="349">
        <s v="barragananalaura6@gmail.com"/>
        <s v="luisanguerra10@gmail.com"/>
        <s v="diegoqtr77@gmail.com"/>
        <s v="jon.caballero.dev@gmail.com"/>
        <s v="ely.mendez01@gmail.com"/>
        <s v="diegomdz22@gmail.com"/>
        <s v="juanma_ortiz17@gmail.com"/>
        <s v="correasebastian917@gmail.com"/>
        <s v="dianaguz97@gmail.com"/>
        <s v="danielaa_rz@gmail.com"/>
        <s v="ameth07max@gmail.com"/>
        <s v="barriosangelineee@gmail.com"/>
        <s v="calebchiary@gmail.com"/>
        <s v="misael12042003@outlook.com"/>
        <s v="josem_est97@gmail.com"/>
        <s v="mafer.celisx@gmail.com"/>
        <s v="devgamer1188@gmail.com"/>
        <s v="matias.campbell94@gmail.com"/>
        <s v="cristina_flores89@gmail.com"/>
        <s v="nath_rosales03@gmail.com"/>
        <s v="angielopez02@gmail.com"/>
        <s v="darioest98@gmail.com"/>
        <s v="mariana_tello24@gmail.com"/>
        <s v="roberx.castillo@gmail.com"/>
        <s v="sara.ros06@gmail.com"/>
        <s v="karol.cedeno13@gmail.com"/>
        <s v="andy_murillo24@gmail.com"/>
        <s v="carlitos_arias@gmail.com"/>
        <s v="paolamanjarrez519@gmail.com"/>
        <s v="ruth.aquino@gmail.com"/>
        <s v="sofia.montez94@gmail.com"/>
        <s v="denivg92@gmail.com"/>
        <s v="lourdes.vasquez91@gmail.com"/>
        <s v="mayra.crrds20@gmail.com"/>
        <s v="dario_sanmartin07@gmail.com"/>
        <s v="isabel.toro14@gmail.com"/>
        <s v="natyvlz20@gmail.com"/>
        <s v="emilionm22@gmail.com"/>
        <s v="evelyn_montoya20@gmail.com"/>
        <s v="danelisdgtrz23@gmail.com"/>
        <s v="yesflores22@gmail.com"/>
        <s v="kat_lopezz99@gmail.com"/>
        <s v="oscar.moralesc90@gmail.com"/>
        <s v="samurivera94@gmail.com"/>
        <s v="jesusd.m1608@gmail.com"/>
        <s v="estebanluna_12@gmail.com"/>
        <s v="franklin.davila07@gmail.com"/>
        <s v="hectorav_03@gmail.com"/>
        <s v="valentina.ariasz@gmail.com"/>
        <s v="sebastian_rp18@gmail.com"/>
        <s v="eliz.rivero8@gmail.com"/>
        <s v="lizbeth.castro96@gmail.com"/>
        <s v="eloya.gomezr@gmail.com"/>
        <s v="dannitab09@gmail.com"/>
        <s v="amirpineda079@gmail.com"/>
        <s v="juandota14@gmail.com"/>
        <s v="robertosudo09@gmail.com"/>
        <s v="angelcruzlasso@gmail.com"/>
        <s v="mofe308@gmail.com"/>
        <s v="dianaferxr@gmail.com"/>
        <s v="marco.valdes01@gmail.com"/>
        <s v="raquel_torresx@gmail.com"/>
        <s v="carmenperez88@gmail.com"/>
        <s v="emilia_soto09@gmail.com"/>
        <s v="jcpanama031@gmail.com"/>
        <s v="oscarlinarezp@gmail.com"/>
        <s v="claudixr@hotmail.com"/>
        <s v="elizabet.romo21@gmail.com"/>
        <s v="javiergaitanx@gmail.com"/>
        <s v="jepmendez@gmail.com"/>
        <s v="johana.justinianii@gmail.com"/>
        <s v="melina_ortz08@gmail.com"/>
        <s v="franklinhdez1@gmail.com"/>
        <s v="jonatan.espinoza23@gmail.com"/>
        <s v="fabyg_2001@gmail.com"/>
        <s v="jonel.garcia17@gmail.com"/>
        <s v="yamilka_estrada@gmail.com"/>
        <s v="genesis_moreno@gmail.com"/>
        <s v="francy.vlz23@gmail.com"/>
        <s v="migs.rodriz@gmail.con"/>
        <s v="abigail.romerog@gmail.com"/>
        <s v="patriciaflores19@gmail.com"/>
        <s v="miri.rodr09@gmail.com"/>
        <s v="paolav_fern@gmail.com"/>
        <s v="nayelis_perez07@gmail.com"/>
        <s v="tomy_sanchez07@gmail.com"/>
        <s v="samuelarosemena@gmail.com"/>
        <s v="yorgeliskloo20@gmail.com"/>
        <s v="galib.lopez@utp.ac.pa"/>
        <s v="alejoVera96@gmail.com"/>
        <s v="vale.pchecox@gmail.com"/>
        <s v="jafethguevara507@gmail.com"/>
        <s v="carlihinojosa@gmail.com"/>
        <s v="gustavo.hr21@gmail.com"/>
        <s v="estebanmz93@gmail.com"/>
        <s v="valeriahdez_11@gmail.com"/>
        <s v="yule_vargas05@gmail.com"/>
        <s v="oscarblandn@gmail.com"/>
        <s v="javierzapatax@gmail.com"/>
        <s v="alvarocx07@gmail.com"/>
        <s v="je8665276@gmail.com"/>
        <s v="mariana.dominguez02@gmail.com"/>
        <s v="jafethguevara04@gmail.com"/>
        <s v="eliana.batista93@gmail.com"/>
        <s v="santiovz04@gmail.com"/>
        <s v="michel_pacheco19@gmail.com"/>
        <s v="jonas.sanmartin@gmail.com"/>
        <s v="arielcp01@gmail.com"/>
        <s v="jhoanxgarcia@gmail.com"/>
        <s v="crislarissa07@gmail.com"/>
        <s v="18daryelissanchez@gmail.com"/>
        <s v="jimenezeilen213@gmail.com"/>
        <s v="beirabarria8@gmail.com"/>
        <s v="ruizkate510@gmail.com"/>
        <s v="rich.mrtnz21@gmail.com"/>
        <s v="daniel.torreszx@gmail.com"/>
        <s v="rodrigo.mesa07@gmail.com"/>
        <s v="andyx.jimenez@gmail.com"/>
        <s v="hector.mdz05@gmail.com"/>
        <s v="manuel_cordero13@gmail.com"/>
        <s v="claraestela412@gmail.com"/>
        <s v="pedro_santana20@gmail.com"/>
        <s v="darlene_guerra01@gmail.com"/>
        <s v="joselyn.torresl@gmail.com"/>
        <s v="rodri.alv07@gmail.com"/>
        <s v="pabloor_24@gmail.com"/>
        <s v="cristopher_juarez@gmail.com"/>
        <s v="caty_patricia@gmail.com"/>
        <s v="mailto.gparedez14@gmail.com"/>
        <s v="diego.moreno06@gmail.com"/>
        <s v="katya_hernandez@gmail.com"/>
        <s v="carolyn_vega02@gmail.com"/>
        <s v="karina.beltran@gmail.com"/>
        <s v="edisram99@gmail.com"/>
        <s v="cd2036755@gmail.com"/>
        <s v="jenniferagudelo@mail.com"/>
        <s v="maylen.perez@gmail.com"/>
        <s v="luisfer_acev@gmail.com"/>
        <s v="andrea.moncada95@gmail.com"/>
        <s v="pablojjjj2612@gmail.com"/>
        <s v="juliana.reyesr@gmail.com"/>
        <s v="katyavila.o21@gmail.com"/>
        <s v="adreina.cruzm@gmail.com"/>
        <s v="adri_toro24@gmail.com"/>
        <s v="marco.avilasx@gmail.com"/>
        <s v="rociqx09@gmail.com"/>
        <s v="mawaru507@gmail.com"/>
        <s v="samuelp_2001@gmail.com"/>
        <s v="gaitanyohann@gmail.com"/>
        <s v="noemig0519@gmail.com"/>
        <s v="marlon.velasquez01@gmail.com"/>
        <s v="erikvaldezr@gmail.com"/>
        <s v="julian.toribio@gmail.com"/>
        <s v="leilani_urbina07@gmail.com"/>
        <s v="sergio.valdesqtr@gmail.com"/>
        <s v="diegoqtrz04@gmail.com"/>
        <s v="delia.glezm@gmail.com"/>
        <s v="adrixruiz@gmail.com"/>
        <s v="meryan15@gmail.com"/>
        <s v="yisel.morales13@gmail.com"/>
        <s v="alexandra.realb88@gmail.com"/>
        <s v="heidy.ruizl@gmail.com"/>
        <s v="paolagomezv_12@gmail.com"/>
        <s v="lorena_iglez@gmail.com"/>
        <s v="edgarjorl0303@gmail.com"/>
        <s v="alfansvitol@gmail.com"/>
        <s v="marlenedowner19@gmail.com"/>
        <s v="villarrealedwin380@gmail.com"/>
        <s v="ossyesbn@gmail.com"/>
        <s v="edgar_mendoza15@gmail.com"/>
        <s v="adri_solis@gmail.com"/>
        <s v="ani.gomezz09@gmail.com"/>
        <s v="sarahjim_94@gmail.com"/>
        <s v="elvis_martinez03@gmail.com"/>
        <s v="fernandocamp.32@gmail.com"/>
        <s v="mauricio.lpz@gmail.com"/>
        <s v="ddluss123@gmail.com"/>
        <s v="eduardo_ortega20@gmail.com"/>
        <s v="luism.sols@gmail.com"/>
        <s v="mariaelena.rosas@gmail.com"/>
        <s v="sandra.benitezx@gmail.com"/>
        <s v="stefany.deleonm@gmail.com"/>
        <s v="roxyy.delgado@gmail.com"/>
        <s v="cesar_ovalle22@gmail.com"/>
        <s v="karenguz_12@gmail.com"/>
        <s v="jonasdelc03@gmail.com"/>
        <s v="denisse.mrojas@gmail.com"/>
        <s v="jessylo_97@gmail.com"/>
        <s v="jesramz24@gmail.com"/>
        <s v="akiraceb.dz@gmail.com"/>
        <s v="lorena.camposx@gmail.com"/>
        <s v="lliethm_99@gmail.com"/>
        <s v="jorgelemusx@gmail.com"/>
        <s v="xim.torr98@gmail.com"/>
        <s v="noelacarrilloz@gmail.com"/>
        <s v="fernanda.reyesx@gmail.com"/>
        <s v="cris.camrg92@gmail.com"/>
        <s v="karlitacp@gmail.com"/>
        <s v="lisbeth_ruizp@gmail.com"/>
        <s v="marta_gonzalezr@gmail.com"/>
        <s v="fabian_riosx@gmail.com"/>
        <s v="juancarlos.benitez@gmail.com"/>
        <s v="sofivz_02@gmail.com"/>
        <s v="sabri.cruzm@gmail.com"/>
        <s v="karen.arce_22@gmail.com"/>
        <s v="tomas_rivera21@gmail.com"/>
        <s v="valex_toro@gmail.com"/>
        <s v="melanytr19@gmail.com"/>
        <s v="estrellaruizp@gmail.com"/>
        <s v="lucy_rmz17@gmail.com"/>
        <s v="gkathleen168@gmail.com"/>
        <s v="esteban_ruiz92@gmail.com"/>
        <s v="camilo.rs98@gmail.com"/>
        <s v="guillermop_87@gmail.com"/>
        <s v="dario_hernandez20@gmail.com"/>
        <s v="laura_paredesx@gmail.com"/>
        <s v="elielg26@gmail.com"/>
        <s v="yolandamc_08@gmail.com"/>
        <s v="marcos21265@gmail.com"/>
        <s v="1188santafe@gmail.com"/>
        <s v="anagaitan212@gmail.com"/>
        <s v="merilynsalina05@gmail.com"/>
        <s v="mendozarolando2201322@gmail.com"/>
        <s v="cristyortiz_17@gmail.com"/>
        <s v="lfrivas.p@gmail.com"/>
        <s v="rigobertorose_18@gmail.com"/>
        <s v="nelson_ferrer@gmail.com"/>
        <s v="lau_mendozax@gmail.com"/>
        <s v="antonio_sj05@gmail.com"/>
        <s v="norse0606@gmail.com"/>
        <s v="nellys.torres@gmail.com"/>
        <s v="raul.efrias05@gmail.com"/>
        <s v="mayeliortizx@gmail.com"/>
        <s v="ruben_moralesx@gmail.com"/>
        <s v="david_izaguirre22@gmail.com"/>
        <s v="esther_salgado@gmail.com"/>
        <s v="ricberht109@gmail.com"/>
        <s v="fcelis92@gmail.com"/>
        <s v="abrahamqfer02@gmail.com"/>
        <s v="fernandox.arz@gmail.com"/>
        <s v="carmen.rosariox@gmail.com"/>
        <s v="gerson.valdez97@gmail.com"/>
        <s v="ricardoqv_29@gmail.com"/>
        <s v="victor_herrera04@gmail.com"/>
        <s v="joseluisv_esc@gmail.com"/>
        <s v="felix_samaniego@gmail.com"/>
        <s v="pierina.salazar@gmail.com"/>
        <s v="carloszoto96@gmail.com"/>
        <s v="gerasanz98@gmail.com"/>
        <s v="ariel.lozani17@gmail.com"/>
        <s v="eduard_carrasco@gmail.com"/>
        <s v="tomasvg_04@gmail.com"/>
        <s v="noelguerra@gmail.com"/>
        <s v="camila_espinosa07@gmail.com"/>
        <s v="estefania.romo03@gmail.com"/>
        <s v="untipollamadoraul@gmail.com"/>
        <s v="juanita.cruzm@gmail.com"/>
        <s v="bricurramba@gmail.com"/>
        <s v="laura.molinar08@gmail.com"/>
        <s v="nelson.arias_26@gmail.com"/>
        <s v="vicky.montesx@gmail.com"/>
        <s v="angievr05@gmail.com"/>
        <s v="dannyruizx@gmail.com"/>
        <s v="luisf_gaitan@gmail.com"/>
        <s v="hector_ovalle@gmail.com"/>
        <s v="julio.martinezx@gmail.com"/>
        <s v="brandomorris13@gmail.com"/>
        <s v="gonzaluis0019@gmail.com"/>
        <s v="walter_robles97@gmail.com"/>
        <s v="angelcruz121005@gmail.com"/>
        <s v="jordy890anel@gmail.com"/>
        <s v="valdeskigdi@gmail.com"/>
        <s v="joseph.luna01@gmail.com"/>
        <s v="bryan_mtz99@gmail.com"/>
        <s v="sebayl07@gmail.com"/>
        <s v="marcoa_1989@gmail.com"/>
        <s v="edward_pinto@gmail.com"/>
        <s v="humberto_roldan@gmail.com"/>
        <s v="iris_mendoza21@gmail.com"/>
        <s v="randy.castro29@gmail.com"/>
        <s v="edilmafrias1982@gmail.com"/>
        <s v="fernando.qtr91@gmail.com"/>
        <s v="osmanyv_90@gmail.com"/>
        <s v="rommel.castillog@gmail.com"/>
        <s v="nataly.castro94@gmail.com"/>
        <s v="f.robez90@gmail.com"/>
        <s v="ricardomirox@gmail.com"/>
        <s v="leinard.mendoza04@gmail.com"/>
        <s v="jose.antonio.valdez@gmail.com"/>
        <s v="rafael.montecino93@gmail.com"/>
        <s v="ghostlyy001ap@gmail.com"/>
        <s v="romina.garcia92@gmail.com"/>
        <s v="kevinsoto_94@gmail.com"/>
        <s v="jonathanb_25@gmail.com"/>
        <s v="mayraand_99@gmail.com"/>
        <s v="lusisangel.quiros97@gmail.com"/>
        <s v="andre_mtz09@gmail.com"/>
        <s v="bryanq01@gmail.com"/>
        <s v="fabiansanchez04@gmail.com"/>
        <s v="kevinflo_95@gmail.com"/>
        <s v="juancho.mc23@gmail.com"/>
        <s v="carlosedu_95@gmail.com"/>
        <s v="lucas.cast01@gmail.com"/>
        <s v="roxanalopez92@gmail.com"/>
        <s v="adaly.abrego94@gmail.com"/>
        <s v="natalia_ponce23@gmail.com"/>
        <s v="nelly.cardenas10@gmail.com"/>
        <s v="maytec95@gmail.com"/>
        <s v="rogerqz.19@gmail.com"/>
        <s v="13.gfvr@gmail.com"/>
        <s v="samaniegogabriel268@gmail.com"/>
        <s v="czurdo198@gmail.com"/>
        <s v="andresth_98@gmail.com"/>
        <s v="pati.gomezx23@gmail.com"/>
        <s v="abdielsanjur_qt@hotmail.com"/>
        <s v="emy.ortz11@gmail.com"/>
        <s v="oliverjorge77@gmail.com"/>
        <s v="bry.hurtado94@gmail.com"/>
        <s v="zulayhenriqz@gmail.com"/>
        <s v="sofia.carrillo07@gmail.com"/>
        <s v="roxana_velez@gmail.com"/>
        <s v="javierrobertodunn07@gmail.com"/>
        <s v="alextorres.lau@gmail.com"/>
        <s v="emirox@gmail.com"/>
        <s v="jhonnyvillarreal94@gmail.com"/>
        <s v="camilagt94@gmail.com"/>
        <s v="edgar_pn21@gmail.com"/>
        <s v="josuegmz08@gmail.com"/>
        <s v="danielaurena92@gmail.com"/>
        <s v="keishatx07@gmail.com"/>
        <s v="maripaz_s@hotmail.com"/>
        <s v="shey.ceballos.it@gmail.com"/>
        <s v="juandgo_11@gmail.com"/>
        <s v="Deisygutierrez601@gmail.com"/>
        <s v="kerenmartinezam@gmail.com"/>
        <s v="juanpabloramirez94@gmail.com"/>
        <s v="alejandro.ramosp@gmail.com"/>
        <s v="alis_hernndz@gmail.com"/>
        <s v="ivanbustos8@gmail.com"/>
        <s v="felipe_jaramillo99@gmail.com"/>
        <s v="paula_gonzalezx@gmail.com"/>
        <s v="pcastm@gmail.com"/>
        <s v="arrochaedwin00@gmail.com"/>
        <s v="humberto.vega98@gmail.com"/>
        <s v="samuel.rosales01@gmail.com"/>
        <s v="melvinortizm@gmail.com"/>
        <s v="donailysromero@gmail.com"/>
        <s v="alondrp13@gmail.com"/>
        <s v="euromaff26@proton.me"/>
      </sharedItems>
    </cacheField>
    <cacheField name="Consentimiento" numFmtId="0">
      <sharedItems count="1">
        <s v="Sí, acepto participar y doy mi consentimiento."/>
      </sharedItems>
    </cacheField>
    <cacheField name="Estudiante de la UTP" numFmtId="0">
      <sharedItems count="1">
        <s v="Sí ✅"/>
      </sharedItems>
    </cacheField>
    <cacheField name="Facultad" numFmtId="0">
      <sharedItems count="1">
        <s v="Facultad de Ingeniería de Sistemas Computacionales"/>
      </sharedItems>
    </cacheField>
    <cacheField name="Encuestador" numFmtId="0">
      <sharedItems count="4">
        <s v="Juan Diego Hernández"/>
        <s v="Jean Carlos Guillén"/>
        <s v="Jade Gutiérrez"/>
        <s v="Luis Lee"/>
      </sharedItems>
    </cacheField>
    <cacheField name="Género" numFmtId="0">
      <sharedItems count="4">
        <s v="Femenino 🙋‍♀️"/>
        <s v="Masculino 🙋‍♂️"/>
        <s v="Helicoptero de ataque :v"/>
        <s v="Prefiero no decirlo."/>
      </sharedItems>
    </cacheField>
    <cacheField name="Edad" numFmtId="0">
      <sharedItems containsSemiMixedTypes="0" containsString="0" containsNumber="1" containsInteger="1" minValue="18" maxValue="35" count="14">
        <n v="18"/>
        <n v="19"/>
        <n v="20"/>
        <n v="21"/>
        <n v="22"/>
        <n v="23"/>
        <n v="24"/>
        <n v="25"/>
        <n v="26"/>
        <n v="27"/>
        <n v="28"/>
        <n v="30"/>
        <n v="31"/>
        <n v="35"/>
      </sharedItems>
    </cacheField>
    <cacheField name="Provincia o Comarca" numFmtId="0">
      <sharedItems count="5">
        <s v="Panamá"/>
        <s v="Panamá Oeste"/>
        <s v="Colón"/>
        <s v="Chiriquí"/>
        <s v="Veraguas"/>
      </sharedItems>
    </cacheField>
    <cacheField name="Carrera" numFmtId="0">
      <sharedItems count="6">
        <s v="Ingeniería en Ciberseguridad"/>
        <s v="Ingeniería de Software"/>
        <s v="Ingeniería en Sistemas"/>
        <s v="Ingeniería en Ciencias de la Computación"/>
        <s v="Ingeniería en Informática Aplicada a la Educación"/>
        <s v="Ingeniería en Redes Informáticas"/>
      </sharedItems>
    </cacheField>
    <cacheField name="Conocimiento del término" numFmtId="0">
      <sharedItems count="2">
        <s v="Sí"/>
        <s v="No"/>
      </sharedItems>
    </cacheField>
    <cacheField name="Fuente de Conocimiento" numFmtId="0">
      <sharedItems/>
    </cacheField>
    <cacheField name="Nivel de Conocimiento" numFmtId="0">
      <sharedItems containsSemiMixedTypes="0" containsString="0" containsNumber="1" containsInteger="1" minValue="1" maxValue="5" count="5">
        <n v="3"/>
        <n v="1"/>
        <n v="2"/>
        <n v="5"/>
        <n v="4"/>
      </sharedItems>
    </cacheField>
    <cacheField name="Familiaridad" numFmtId="0">
      <sharedItems containsSemiMixedTypes="0" containsString="0" containsNumber="1" containsInteger="1" minValue="1" maxValue="5" count="5">
        <n v="2"/>
        <n v="1"/>
        <n v="5"/>
        <n v="3"/>
        <n v="4"/>
      </sharedItems>
    </cacheField>
    <cacheField name="Tiempo de Estudio" numFmtId="2">
      <sharedItems containsSemiMixedTypes="0" containsString="0" containsNumber="1" minValue="0" maxValue="200" count="64">
        <n v="2.5"/>
        <n v="0"/>
        <n v="3.75"/>
        <n v="1"/>
        <n v="5"/>
        <n v="1.5"/>
        <n v="3"/>
        <n v="18.5"/>
        <n v="4.5"/>
        <n v="6.75"/>
        <n v="10.5"/>
        <n v="15.5"/>
        <n v="2.75"/>
        <n v="8.75"/>
        <n v="24"/>
        <n v="30"/>
        <n v="0.5"/>
        <n v="6"/>
        <n v="40"/>
        <n v="3.5"/>
        <n v="15"/>
        <n v="12.5"/>
        <n v="4.75"/>
        <n v="4"/>
        <n v="2"/>
        <n v="32"/>
        <n v="28"/>
        <n v="12"/>
        <n v="5.75"/>
        <n v="8.5"/>
        <n v="0.25"/>
        <n v="20"/>
        <n v="10"/>
        <n v="1.3"/>
        <n v="43"/>
        <n v="18"/>
        <n v="5.5"/>
        <n v="7.5"/>
        <n v="20.5"/>
        <n v="16"/>
        <n v="44"/>
        <n v="21"/>
        <n v="8"/>
        <n v="9"/>
        <n v="6.25"/>
        <n v="6.7"/>
        <n v="14"/>
        <n v="6.5"/>
        <n v="10.75"/>
        <n v="49"/>
        <n v="7"/>
        <n v="11"/>
        <n v="200"/>
        <n v="14.75"/>
        <n v="96"/>
        <n v="36"/>
        <n v="37"/>
        <n v="35"/>
        <n v="50"/>
        <n v="25.75"/>
        <n v="20.399999999999999"/>
        <n v="11.75"/>
        <n v="47"/>
        <n v="25.5"/>
      </sharedItems>
    </cacheField>
    <cacheField name="Cursos Realizados" numFmtId="0">
      <sharedItems containsSemiMixedTypes="0" containsString="0" containsNumber="1" containsInteger="1" minValue="0" maxValue="10"/>
    </cacheField>
    <cacheField name="Interés en Aprender" numFmtId="0">
      <sharedItems containsSemiMixedTypes="0" containsString="0" containsNumber="1" containsInteger="1" minValue="1" maxValue="5" count="5">
        <n v="4"/>
        <n v="3"/>
        <n v="5"/>
        <n v="2"/>
        <n v="1"/>
      </sharedItems>
    </cacheField>
    <cacheField name="Interés en Participar" numFmtId="0">
      <sharedItems containsSemiMixedTypes="0" containsString="0" containsNumber="1" containsInteger="1" minValue="1" maxValue="5" count="5">
        <n v="5"/>
        <n v="3"/>
        <n v="2"/>
        <n v="1"/>
        <n v="4"/>
      </sharedItems>
    </cacheField>
    <cacheField name="Área de Interés" numFmtId="0">
      <sharedItems count="42">
        <s v="Aplicaciones Industriales (IA, Criptografía, Optimizacion)"/>
        <s v="Programación y Desarrollo de Algoritmos Cuánticos"/>
        <s v="Programación y Desarrollo de Algoritmos Cuánticos, Hardware Cuántico"/>
        <s v="Física y Fundamentos Teóricos, Aplicaciones Industriales (IA, Criptografía, Optimizacion), Educación y Divulgación Científica"/>
        <s v="Física y Fundamentos Teóricos, Aplicaciones Industriales (IA, Criptografía, Optimizacion)"/>
        <s v="Física y Fundamentos Teóricos"/>
        <s v="Programación y Desarrollo de Algoritmos Cuánticos, Educación y Divulgación Científica"/>
        <s v="Educación y Divulgación Científica"/>
        <s v="Programación y Desarrollo de Algoritmos Cuánticos, Hardware Cuántico, Física y Fundamentos Teóricos, Aplicaciones Industriales (IA, Criptografía, Optimizacion)"/>
        <s v="Física y Fundamentos Teóricos, Educación y Divulgación Científica"/>
        <s v="Programación y Desarrollo de Algoritmos Cuánticos, Hardware Cuántico, Física y Fundamentos Teóricos"/>
        <s v="Programación y Desarrollo de Algoritmos Cuánticos, Física y Fundamentos Teóricos"/>
        <s v="Programación y Desarrollo de Algoritmos Cuánticos, Física y Fundamentos Teóricos, Educación y Divulgación Científica"/>
        <s v="Programación y Desarrollo de Algoritmos Cuánticos, Aplicaciones Industriales (IA, Criptografía, Optimizacion), Educación y Divulgación Científica"/>
        <s v="Aplicaciones Industriales (IA, Criptografía, Optimizacion), Educación y Divulgación Científica"/>
        <s v="Programación y Desarrollo de Algoritmos Cuánticos, Aplicaciones Industriales (IA, Criptografía, Optimizacion)"/>
        <s v="Programación y Desarrollo de Algoritmos Cuánticos, Física y Fundamentos Teóricos, Aplicaciones Industriales (IA, Criptografía, Optimizacion)"/>
        <s v="No sabría decirte  :3"/>
        <s v=".."/>
        <s v="Solo ayudo a la encuesta "/>
        <s v="No sé"/>
        <s v="Hardware Cuántico"/>
        <s v="Hardware Cuántico, Física y Fundamentos Teóricos"/>
        <s v="Criptografía cuántica"/>
        <s v="..."/>
        <s v="Programación y Desarrollo de Algoritmos Cuánticos, Hardware Cuántico, Aplicaciones Industriales (IA, Criptografía, Optimizacion)"/>
        <s v="Programación y Desarrollo de Algoritmos Cuánticos, Hardware Cuántico, Física y Fundamentos Teóricos, Aplicaciones Industriales (IA, Criptografía, Optimizacion), Educación y Divulgación Científica"/>
        <s v="Hardware Cuántico, Educación y Divulgación Científica"/>
        <s v="No sé tendría que investigar"/>
        <s v="Hardware Cuántico, Aplicaciones Industriales (IA, Criptografía, Optimizacion)"/>
        <s v="Hardware Cuántico, Aplicaciones Industriales (IA, Criptografía, Optimizacion), Educación y Divulgación Científica"/>
        <s v="Aplicaciones Industriales (IA, Criptografía, Optimizacion), Desarrollo de nuevas técnicas de cifrado"/>
        <s v="Aplicaciones Industriales (IA, Criptografía, Optimizacion), El hecho de que algoritmos de encriptación como RSA serán obsoletos debido a las computadoras cuánticas"/>
        <s v="No sé del tema como para decidir que interés tengo"/>
        <s v="ninguno"/>
        <s v="Hardware Cuántico, Física y Fundamentos Teóricos, Aplicaciones Industriales (IA, Criptografía, Optimizacion)"/>
        <s v="No sé "/>
        <s v="Vacio"/>
        <s v="No tengo la menor idea "/>
        <s v="Programación y Desarrollo de Algoritmos Cuánticos, Hardware Cuántico, Aplicaciones Industriales (IA, Criptografía, Optimizacion), Educación y Divulgación Científica"/>
        <s v="Programación y Desarrollo de Algoritmos Cuánticos, Hardware Cuántico, Educación y Divulgación Científica"/>
        <s v="No me interesa "/>
      </sharedItems>
    </cacheField>
    <cacheField name="Dedicación Semanal" numFmtId="0">
      <sharedItems count="5">
        <s v="Entre 4 y 6 horas"/>
        <s v="Entre 1 y 3 horas"/>
        <s v="Menos de 1 hora"/>
        <s v="Entre 7 y 10 horas"/>
        <s v="Más de 10 horas"/>
      </sharedItems>
    </cacheField>
    <cacheField name="Actividades Extracurriculares" numFmtId="0">
      <sharedItems containsSemiMixedTypes="0" containsString="0" containsNumber="1" containsInteger="1" minValue="0" maxValue="50" count="17">
        <n v="0"/>
        <n v="2"/>
        <n v="1"/>
        <n v="7"/>
        <n v="3"/>
        <n v="5"/>
        <n v="4"/>
        <n v="20"/>
        <n v="9"/>
        <n v="10"/>
        <n v="6"/>
        <n v="8"/>
        <n v="14"/>
        <n v="50"/>
        <n v="12"/>
        <n v="11"/>
        <n v="13"/>
      </sharedItems>
    </cacheField>
    <cacheField name="Impacto Futuro" numFmtId="0">
      <sharedItems containsSemiMixedTypes="0" containsString="0" containsNumber="1" containsInteger="1" minValue="1" maxValue="10" count="10">
        <n v="7"/>
        <n v="10"/>
        <n v="6"/>
        <n v="8"/>
        <n v="9"/>
        <n v="5"/>
        <n v="4"/>
        <n v="3"/>
        <n v="2"/>
        <n v="1"/>
      </sharedItems>
    </cacheField>
    <cacheField name="Accesibilidad" numFmtId="0">
      <sharedItems containsSemiMixedTypes="0" containsString="0" containsNumber="1" containsInteger="1" minValue="1" maxValue="5" count="5">
        <n v="2"/>
        <n v="1"/>
        <n v="3"/>
        <n v="4"/>
        <n v="5"/>
      </sharedItems>
    </cacheField>
    <cacheField name="Integración Universitaria" numFmtId="0">
      <sharedItems count="4">
        <s v="Es prematuro introducirla"/>
        <s v="Es el momento adecuado"/>
        <s v="No es necesario"/>
        <s v="Es urgente hacerlo"/>
      </sharedItems>
    </cacheField>
    <cacheField name="Beneficios" numFmtId="0">
      <sharedItems count="40" longText="1">
        <s v="Mejora en la Educación Universitaria"/>
        <s v="Mejora en la Educación Universitaria, Generación de Empleo Especializado"/>
        <s v="Impulso a la Innovación Científica y Tecnológica, Mejora en la Educación Universitaria, Desarrollo de Nuevas Industrias (IA, Criptografía, Materiales)"/>
        <s v="Impulso a la Innovación Científica y Tecnológica, Desarrollo de Nuevas Industrias (IA, Criptografía, Materiales)"/>
        <s v="Atracción de Inversión Extranjera, Desarrollo de Nuevas Industrias (IA, Criptografía, Materiales)"/>
        <s v="Desarrollo de Nuevas Industrias (IA, Criptografía, Materiales), Generación de Empleo Especializado"/>
        <s v="Impulso a la Innovación Científica y Tecnológica"/>
        <s v="Impulso a la Innovación Científica y Tecnológica, Mejora en la Educación Universitaria, Atracción de Inversión Extranjera, Desarrollo de Nuevas Industrias (IA, Criptografía, Materiales), Generación de Empleo Especializado"/>
        <s v="Mejora en la Educación Universitaria, Atracción de Inversión Extranjera"/>
        <s v="Impulso a la Innovación Científica y Tecnológica, Mejora en la Educación Universitaria, Atracción de Inversión Extranjera, Desarrollo de Nuevas Industrias (IA, Criptografía, Materiales), Generación de Empleo Especializado, Capaz lleguen empresas como Microsoft, Intel, IBM, Google a Panamá"/>
        <s v="Impulso a la Innovación Científica y Tecnológica, Mejora en la Educación Universitaria"/>
        <s v="Impulso a la Innovación Científica y Tecnológica, Mejora en la Educación Universitaria, Desarrollo de Nuevas Industrias (IA, Criptografía, Materiales), Generación de Empleo Especializado"/>
        <s v="Impulso a la Innovación Científica y Tecnológica, Desarrollo de Nuevas Industrias (IA, Criptografía, Materiales), Generación de Empleo Especializado"/>
        <s v="Impulso a la Innovación Científica y Tecnológica, Generación de Empleo Especializado"/>
        <s v="Impulso a la Innovación Científica y Tecnológica, Atracción de Inversión Extranjera, Desarrollo de Nuevas Industrias (IA, Criptografía, Materiales), Generación de Empleo Especializado"/>
        <s v="Tendría que investigar más sobre eso para responder esta pregunta :'("/>
        <s v="Impulso a la Innovación Científica y Tecnológica, Mejora en la Educación Universitaria, Atracción de Inversión Extranjera, Desarrollo de Nuevas Industrias (IA, Criptografía, Materiales)"/>
        <s v="Que te puedo decir "/>
        <s v="Generación de Empleo Especializado"/>
        <s v="Atracción de Inversión Extranjera"/>
        <s v="Deudas"/>
        <s v="nada"/>
        <s v="Impulso a la Innovación Científica y Tecnológica, Mejora en la Educación Universitaria, Atracción de Inversión Extranjera"/>
        <s v="Impulso a la Innovación Científica y Tecnológica, Atracción de Inversión Extranjera, Desarrollo de Nuevas Industrias (IA, Criptografía, Materiales)"/>
        <s v="Impulso a la Innovación Científica y Tecnológica, Mejora en la Educación Universitaria, Generación de Empleo Especializado"/>
        <s v="Impulso a la Innovación Científica y Tecnológica, Atracción de Inversión Extranjera"/>
        <s v="Impulso a la Innovación Científica y Tecnológica, Atracción de Inversión Extranjera, Generación de Empleo Especializado"/>
        <s v="No c"/>
        <s v="Impulso a la Innovación Científica y Tecnológica, Mejora en la Educación Universitaria, Atracción de Inversión Extranjera, Generación de Empleo Especializado"/>
        <s v="Desarrollo de Nuevas Industrias (IA, Criptografía, Materiales)"/>
        <s v="Atracción de Inversión Extranjera, Generación de Empleo Especializado"/>
        <s v="Impulso a la Innovación Científica y Tecnológica, Mejora en la Educación Universitaria, Atracción de Inversión Extranjera, Desarrollo de Nuevas Industrias (IA, Criptografía, Materiales), Generación de Empleo Especializado, Podríamos dejar de ser conocidos solamente por el Canal y el turismo"/>
        <s v="Mejora en la Educación Universitaria, Atracción de Inversión Extranjera, Desarrollo de Nuevas Industrias (IA, Criptografía, Materiales), Generación de Empleo Especializado"/>
        <s v="Mejora en la Educación Universitaria, Atracción de Inversión Extranjera, Generación de Empleo Especializado"/>
        <s v="Mejora en la Educación Universitaria, Desarrollo de Nuevas Industrias (IA, Criptografía, Materiales)"/>
        <s v="Mejora en la Educación Universitaria, Mayor competitividad en el mercado laboral internacional"/>
        <s v="Impulso a la Innovación Científica y Tecnológica, Mejora en la Educación Universitaria, Atracción de Inversión Extranjera, Desarrollo de Nuevas Industrias (IA, Criptografía, Materiales), Generación de Empleo Especializado, Mejor ciberseguridad a nivel nacional"/>
        <s v="Vacio "/>
        <s v="..."/>
        <s v="No tengo conocimiento sobre el tema como para decir que sería beneficióso "/>
      </sharedItems>
    </cacheField>
    <cacheField name="Disposición a Invertir" numFmtId="165">
      <sharedItems containsSemiMixedTypes="0" containsString="0" containsNumber="1" minValue="0" maxValue="3000.5" count="102">
        <n v="40"/>
        <n v="10"/>
        <n v="5.99"/>
        <n v="9.99"/>
        <n v="20.5"/>
        <n v="10.5"/>
        <n v="5"/>
        <n v="0"/>
        <n v="15"/>
        <n v="35"/>
        <n v="20"/>
        <n v="250.9"/>
        <n v="15.99"/>
        <n v="29.99"/>
        <n v="40.5"/>
        <n v="22.5"/>
        <n v="9.4"/>
        <n v="15.6"/>
        <n v="110.5"/>
        <n v="50.99"/>
        <n v="17.989999999999998"/>
        <n v="9.8000000000000007"/>
        <n v="13.4"/>
        <n v="35.700000000000003"/>
        <n v="19.989999999999998"/>
        <n v="15.45"/>
        <n v="69.989999999999995"/>
        <n v="2.75"/>
        <n v="125.8"/>
        <n v="1.5"/>
        <n v="50"/>
        <n v="300.5"/>
        <n v="18"/>
        <n v="25"/>
        <n v="120.59"/>
        <n v="50.5"/>
        <n v="20.99"/>
        <n v="10.7"/>
        <n v="49.99"/>
        <n v="250.5"/>
        <n v="30"/>
        <n v="70"/>
        <n v="8.99"/>
        <n v="1.99"/>
        <n v="14.99"/>
        <n v="30.5"/>
        <n v="25.9"/>
        <n v="55.9"/>
        <n v="32.99"/>
        <n v="13.99"/>
        <n v="150"/>
        <n v="9.5"/>
        <n v="45"/>
        <n v="350.8"/>
        <n v="10.6"/>
        <n v="40.6"/>
        <n v="4.99"/>
        <n v="14.6"/>
        <n v="14.4"/>
        <n v="22.6"/>
        <n v="24.99"/>
        <n v="19.8"/>
        <n v="12.9"/>
        <n v="15.7"/>
        <n v="31.5"/>
        <n v="130"/>
        <n v="309"/>
        <n v="1000.24"/>
        <n v="300.60000000000002"/>
        <n v="75"/>
        <n v="6.72"/>
        <n v="10.199999999999999"/>
        <n v="18.989999999999998"/>
        <n v="12.5"/>
        <n v="100.7"/>
        <n v="36.9"/>
        <n v="100"/>
        <n v="200"/>
        <n v="80"/>
        <n v="90"/>
        <n v="99.98"/>
        <n v="12"/>
        <n v="100.5"/>
        <n v="10.99"/>
        <n v="200.6"/>
        <n v="25.8"/>
        <n v="300"/>
        <n v="400"/>
        <n v="39.99"/>
        <n v="270.89999999999998"/>
        <n v="10.9"/>
        <n v="35.5"/>
        <n v="250.6"/>
        <n v="10.8"/>
        <n v="150.9"/>
        <n v="70.900000000000006"/>
        <n v="2000"/>
        <n v="250.75"/>
        <n v="20.6"/>
        <n v="150.99"/>
        <n v="500"/>
        <n v="3000.5"/>
      </sharedItems>
    </cacheField>
    <cacheField name="Desafíos" numFmtId="0">
      <sharedItems count="65" longText="1">
        <s v="Falta de Personal Capacitado, Desconocimiento General del Tema"/>
        <s v="Falta de Personal Capacitado, Falta de Recursos Tecnológicos o Equipos, Limitaciones en los Planes de Estudio"/>
        <s v="Falta de Personal Capacitado, Altos Costos de Implementación"/>
        <s v="Falta de Personal Capacitado, Limitaciones en los Planes de Estudio, Altos Costos de Implementación, Desconocimiento General del Tema"/>
        <s v="Falta de Personal Capacitado, Escaso Interés Estudiantil"/>
        <s v="Falta de Personal Capacitado, Falta de Recursos Tecnológicos o Equipos, Escaso Interés Estudiantil"/>
        <s v="Falta de Recursos Tecnológicos o Equipos, Altos Costos de Implementación"/>
        <s v="Falta de Recursos Tecnológicos o Equipos"/>
        <s v="Limitaciones en los Planes de Estudio"/>
        <s v="Falta de Recursos Tecnológicos o Equipos, Limitaciones en los Planes de Estudio, Altos Costos de Implementación"/>
        <s v="Falta de Recursos Tecnológicos o Equipos, Altos Costos de Implementación, Desconocimiento General del Tema"/>
        <s v="Altos Costos de Implementación"/>
        <s v="Falta de Personal Capacitado, Falta de Recursos Tecnológicos o Equipos"/>
        <s v="Falta de Personal Capacitado, Escaso Interés Estudiantil, Desconocimiento General del Tema"/>
        <s v="Falta de Personal Capacitado, Escaso Interés Estudiantil, Altos Costos de Implementación, Desconocimiento General del Tema"/>
        <s v="Falta de Personal Capacitado"/>
        <s v="Falta de Personal Capacitado, Falta de Recursos Tecnológicos o Equipos, Limitaciones en los Planes de Estudio, Altos Costos de Implementación"/>
        <s v="Escaso Interés Estudiantil, Limitaciones en los Planes de Estudio, Altos Costos de Implementación"/>
        <s v="Falta de Personal Capacitado, Falta de Recursos Tecnológicos o Equipos, Desconocimiento General del Tema"/>
        <s v="Falta de Personal Capacitado, Falta de Recursos Tecnológicos o Equipos, Altos Costos de Implementación, Desconocimiento General del Tema"/>
        <s v="Falta de Personal Capacitado, Altos Costos de Implementación, Desconocimiento General del Tema"/>
        <s v="Escaso Interés Estudiantil"/>
        <s v="Desconocimiento General del Tema"/>
        <s v=":'("/>
        <s v="Escaso Interés Estudiantil, Limitaciones en los Planes de Estudio"/>
        <s v="Ni idea"/>
        <s v="Falta de Personal Capacitado, Falta de Recursos Tecnológicos o Equipos, Escaso Interés Estudiantil, Limitaciones en los Planes de Estudio, Altos Costos de Implementación"/>
        <s v="Escaso Interés Estudiantil, Limitaciones en los Planes de Estudio, Desconocimiento General del Tema"/>
        <s v="Falta de Recursos Tecnológicos o Equipos, Limitaciones en los Planes de Estudio, Altos Costos de Implementación, Desconocimiento General del Tema"/>
        <s v="No sé"/>
        <s v="Falta de Personal Capacitado, Falta de Recursos Tecnológicos o Equipos, Escaso Interés Estudiantil, Limitaciones en los Planes de Estudio, Altos Costos de Implementación, Desconocimiento General del Tema"/>
        <s v="Escaso Interés Estudiantil, Altos Costos de Implementación, Desconocimiento General del Tema"/>
        <s v="Falta de Personal Capacitado, Falta de Recursos Tecnológicos o Equipos, Altos Costos de Implementación"/>
        <s v="Altos Costos de Implementación, Desconocimiento General del Tema"/>
        <s v="Falta de Recursos Tecnológicos o Equipos, Desconocimiento General del Tema"/>
        <s v="Falta de Personal Capacitado, Falta de Recursos Tecnológicos o Equipos, Limitaciones en los Planes de Estudio, Altos Costos de Implementación, Desconocimiento General del Tema"/>
        <s v="Escaso Interés Estudiantil, Desconocimiento General del Tema"/>
        <s v="Falta de Recursos Tecnológicos o Equipos, Escaso Interés Estudiantil, Altos Costos de Implementación, Desconocimiento General del Tema"/>
        <s v="No c"/>
        <s v="Falta de Personal Capacitado, Falta de Recursos Tecnológicos o Equipos, Escaso Interés Estudiantil, Altos Costos de Implementación"/>
        <s v="Falta de Personal Capacitado, Falta de Recursos Tecnológicos o Equipos, Escaso Interés Estudiantil, Limitaciones en los Planes de Estudio"/>
        <s v="Falta de Personal Capacitado, Falta de Recursos Tecnológicos o Equipos, Escaso Interés Estudiantil, Limitaciones en los Planes de Estudio, Desconocimiento General del Tema"/>
        <s v="Limitaciones en los Planes de Estudio, Desconocimiento General del Tema"/>
        <s v="Falta de Recursos Tecnológicos o Equipos, Limitaciones en los Planes de Estudio"/>
        <s v="Falta de Personal Capacitado, Falta de Recursos Tecnológicos o Equipos, Limitaciones en los Planes de Estudio, Desconocimiento General del Tema"/>
        <s v="Limitaciones en los Planes de Estudio, Altos Costos de Implementación"/>
        <s v="Falta de Personal Capacitado, Escaso Interés Estudiantil, Limitaciones en los Planes de Estudio"/>
        <s v="Falta de Personal Capacitado, Limitaciones en los Planes de Estudio, Desconocimiento General del Tema"/>
        <s v="Falta de Personal Capacitado, Escaso Interés Estudiantil, Limitaciones en los Planes de Estudio, Altos Costos de Implementación, Desconocimiento General del Tema"/>
        <s v="Falta de Personal Capacitado, Falta de Recursos Tecnológicos o Equipos, Escaso Interés Estudiantil, Altos Costos de Implementación, Desconocimiento General del Tema"/>
        <s v="Falta de Recursos Tecnológicos o Equipos, Escaso Interés Estudiantil"/>
        <s v="Falta de Recursos Tecnológicos o Equipos, Escaso Interés Estudiantil, Limitaciones en los Planes de Estudio"/>
        <s v="Falta de Personal Capacitado, Escaso Interés Estudiantil, Limitaciones en los Planes de Estudio, Desconocimiento General del Tema"/>
        <s v="Escaso Interés Estudiantil, Desconocimiento General del Tema, La gente o no sabe sobre esto, o no les interesa"/>
        <s v="Falta de Personal Capacitado, Falta de Recursos Tecnológicos o Equipos, Escaso Interés Estudiantil, Desconocimiento General del Tema"/>
        <s v="Falta de Personal Capacitado, Falta de Recursos Tecnológicos o Equipos, Escaso Interés Estudiantil, Limitaciones en los Planes de Estudio, Altos Costos de Implementación, Desconocimiento General del Tema, Hay que ir a estudiar afuera para aprender sobre este tema, aqui no"/>
        <s v="Falta de Personal Capacitado, Limitaciones en los Planes de Estudio"/>
        <s v="Falta de Personal Capacitado, Escaso Interés Estudiantil, Altos Costos de Implementación"/>
        <s v="Falta de Recursos Tecnológicos o Equipos, Escaso Interés Estudiantil, Altos Costos de Implementación"/>
        <s v="Falta de Recursos Tecnológicos o Equipos, Escaso Interés Estudiantil, Limitaciones en los Planes de Estudio, Altos Costos de Implementación, Desconocimiento General del Tema"/>
        <s v="Falta de Recursos Tecnológicos o Equipos, Limitaciones en los Planes de Estudio, Desconocimiento General del Tema"/>
        <s v="Falta de Recursos Tecnológicos o Equipos, Escaso Interés Estudiantil, Limitaciones en los Planes de Estudio, Altos Costos de Implementación"/>
        <s v=":/"/>
        <s v="Escaso Interés Estudiantil, Altos Costos de Implementación"/>
        <s v="Lo mismo aplica aquí "/>
      </sharedItems>
    </cacheField>
    <cacheField name="Fecha" numFmtId="14">
      <sharedItems containsSemiMixedTypes="0" containsNonDate="0" containsDate="1" containsString="0" minDate="2025-10-19T00:00:00" maxDate="2025-10-25T00:00:00" count="5">
        <d v="2025-10-21T00:00:00"/>
        <d v="2025-10-22T00:00:00"/>
        <d v="2025-10-23T00:00:00"/>
        <d v="2025-10-24T00:00:00"/>
        <d v="2025-10-19T00:00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380573148148" createdVersion="8" refreshedVersion="8" minRefreshableVersion="3" recordCount="349" xr:uid="{1C13578D-13D6-46D8-A736-A013D15EB2F0}">
  <cacheSource type="worksheet">
    <worksheetSource ref="R3:R352" sheet="Tabla Dinámica (P2.Problema #4)"/>
  </cacheSource>
  <cacheFields count="1">
    <cacheField name="Género" numFmtId="0">
      <sharedItems count="4">
        <s v="Femenino"/>
        <s v="Masculino"/>
        <s v="Otro"/>
        <s v="Prefiero no decirl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411129629632" createdVersion="8" refreshedVersion="8" minRefreshableVersion="3" recordCount="349" xr:uid="{971F90C7-D27A-4184-8300-04CCB3041919}">
  <cacheSource type="worksheet">
    <worksheetSource ref="AE3:AE352" sheet="Tabla Dinámica (P2.Problema #4)"/>
  </cacheSource>
  <cacheFields count="1">
    <cacheField name="Conocimiento del término" numFmtId="0">
      <sharedItems count="2">
        <s v="Sí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0.465595833331" createdVersion="8" refreshedVersion="8" minRefreshableVersion="3" recordCount="349" xr:uid="{AA82E0D0-BB1E-4A46-92FE-5C0688DB0D6B}">
  <cacheSource type="worksheet">
    <worksheetSource ref="AJ3:AJ352" sheet="Tabla Dinámica (P2.Problema #4)"/>
  </cacheSource>
  <cacheFields count="1">
    <cacheField name="Fuente de Conocimiento" numFmtId="0">
      <sharedItems count="10">
        <s v="Por interés propio / autoaprendizaje"/>
        <s v="En esta encuesta"/>
        <s v="En la universidad"/>
        <s v="En redes sociales"/>
        <s v="En otros medios de comunicación"/>
        <s v="En cursos o conferencias"/>
        <s v="por mi papá"/>
        <s v="en casa de mi tío"/>
        <s v="Youtube"/>
        <s v="Mi famil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61.012656712963" createdVersion="8" refreshedVersion="8" minRefreshableVersion="3" recordCount="349" xr:uid="{E6FF4393-0B85-4016-A063-474DD0523057}">
  <cacheSource type="worksheet">
    <worksheetSource name="Tabla5"/>
  </cacheSource>
  <cacheFields count="2">
    <cacheField name="Carrera" numFmtId="0">
      <sharedItems count="6">
        <s v="Ingeniería de Software"/>
        <s v="Ingeniería en Ciberseguridad"/>
        <s v="Ingeniería en Ciencias de la Computación"/>
        <s v="Ingeniería en Informática Aplicada a la Educación"/>
        <s v="Ingeniería en Redes Informáticas"/>
        <s v="Ingeniería en Sistemas"/>
      </sharedItems>
    </cacheField>
    <cacheField name="Interés en Participar" numFmtId="0">
      <sharedItems containsSemiMixedTypes="0" containsString="0" containsNumber="1" containsInteger="1" minValue="1" maxValue="5" count="5">
        <n v="3"/>
        <n v="2"/>
        <n v="1"/>
        <n v="5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d v="2025-10-21T23:49:41"/>
    <x v="0"/>
    <x v="0"/>
    <x v="0"/>
    <x v="0"/>
    <x v="0"/>
    <x v="0"/>
    <x v="0"/>
    <x v="0"/>
    <x v="0"/>
    <x v="0"/>
    <s v="Por interés propio / autoaprendizaje"/>
    <x v="0"/>
    <x v="0"/>
    <x v="0"/>
    <n v="0"/>
    <x v="0"/>
    <x v="0"/>
    <x v="0"/>
    <x v="0"/>
    <x v="0"/>
    <x v="0"/>
    <x v="0"/>
    <x v="0"/>
    <x v="0"/>
    <x v="0"/>
    <x v="0"/>
    <x v="0"/>
  </r>
  <r>
    <d v="2025-10-22T09:03:56"/>
    <x v="1"/>
    <x v="0"/>
    <x v="0"/>
    <x v="0"/>
    <x v="1"/>
    <x v="0"/>
    <x v="0"/>
    <x v="1"/>
    <x v="1"/>
    <x v="0"/>
    <s v="En esta encuesta 😅"/>
    <x v="1"/>
    <x v="1"/>
    <x v="1"/>
    <n v="0"/>
    <x v="1"/>
    <x v="1"/>
    <x v="1"/>
    <x v="1"/>
    <x v="1"/>
    <x v="1"/>
    <x v="1"/>
    <x v="1"/>
    <x v="0"/>
    <x v="1"/>
    <x v="1"/>
    <x v="1"/>
  </r>
  <r>
    <d v="2025-10-22T21:41:46"/>
    <x v="2"/>
    <x v="0"/>
    <x v="0"/>
    <x v="0"/>
    <x v="2"/>
    <x v="1"/>
    <x v="0"/>
    <x v="0"/>
    <x v="0"/>
    <x v="0"/>
    <s v="En esta encuesta 😅"/>
    <x v="1"/>
    <x v="1"/>
    <x v="1"/>
    <n v="0"/>
    <x v="0"/>
    <x v="2"/>
    <x v="2"/>
    <x v="1"/>
    <x v="0"/>
    <x v="0"/>
    <x v="1"/>
    <x v="1"/>
    <x v="1"/>
    <x v="2"/>
    <x v="2"/>
    <x v="1"/>
  </r>
  <r>
    <d v="2025-10-23T09:33:40"/>
    <x v="3"/>
    <x v="0"/>
    <x v="0"/>
    <x v="0"/>
    <x v="2"/>
    <x v="1"/>
    <x v="0"/>
    <x v="0"/>
    <x v="0"/>
    <x v="0"/>
    <s v="Por interés propio / autoaprendizaje"/>
    <x v="2"/>
    <x v="1"/>
    <x v="2"/>
    <n v="0"/>
    <x v="2"/>
    <x v="1"/>
    <x v="3"/>
    <x v="1"/>
    <x v="1"/>
    <x v="1"/>
    <x v="2"/>
    <x v="2"/>
    <x v="2"/>
    <x v="3"/>
    <x v="3"/>
    <x v="2"/>
  </r>
  <r>
    <d v="2025-10-23T10:57:40"/>
    <x v="4"/>
    <x v="0"/>
    <x v="0"/>
    <x v="0"/>
    <x v="2"/>
    <x v="0"/>
    <x v="0"/>
    <x v="0"/>
    <x v="2"/>
    <x v="0"/>
    <s v="En esta encuesta 😅"/>
    <x v="1"/>
    <x v="1"/>
    <x v="1"/>
    <n v="0"/>
    <x v="0"/>
    <x v="2"/>
    <x v="2"/>
    <x v="1"/>
    <x v="0"/>
    <x v="2"/>
    <x v="1"/>
    <x v="0"/>
    <x v="3"/>
    <x v="4"/>
    <x v="4"/>
    <x v="2"/>
  </r>
  <r>
    <d v="2025-10-23T11:02:39"/>
    <x v="5"/>
    <x v="0"/>
    <x v="0"/>
    <x v="0"/>
    <x v="2"/>
    <x v="1"/>
    <x v="0"/>
    <x v="0"/>
    <x v="1"/>
    <x v="0"/>
    <s v="En la universidad"/>
    <x v="1"/>
    <x v="1"/>
    <x v="1"/>
    <n v="0"/>
    <x v="1"/>
    <x v="1"/>
    <x v="3"/>
    <x v="0"/>
    <x v="0"/>
    <x v="2"/>
    <x v="2"/>
    <x v="3"/>
    <x v="4"/>
    <x v="5"/>
    <x v="5"/>
    <x v="2"/>
  </r>
  <r>
    <d v="2025-10-23T19:54:34"/>
    <x v="6"/>
    <x v="0"/>
    <x v="0"/>
    <x v="0"/>
    <x v="0"/>
    <x v="2"/>
    <x v="0"/>
    <x v="0"/>
    <x v="2"/>
    <x v="0"/>
    <s v="En redes sociales"/>
    <x v="3"/>
    <x v="2"/>
    <x v="3"/>
    <n v="0"/>
    <x v="2"/>
    <x v="3"/>
    <x v="4"/>
    <x v="1"/>
    <x v="0"/>
    <x v="0"/>
    <x v="1"/>
    <x v="1"/>
    <x v="5"/>
    <x v="6"/>
    <x v="6"/>
    <x v="2"/>
  </r>
  <r>
    <d v="2025-10-24T13:35:51"/>
    <x v="7"/>
    <x v="0"/>
    <x v="0"/>
    <x v="0"/>
    <x v="1"/>
    <x v="1"/>
    <x v="0"/>
    <x v="1"/>
    <x v="3"/>
    <x v="0"/>
    <s v="En esta encuesta 😅"/>
    <x v="1"/>
    <x v="1"/>
    <x v="1"/>
    <n v="0"/>
    <x v="1"/>
    <x v="2"/>
    <x v="5"/>
    <x v="2"/>
    <x v="2"/>
    <x v="0"/>
    <x v="1"/>
    <x v="0"/>
    <x v="6"/>
    <x v="7"/>
    <x v="7"/>
    <x v="3"/>
  </r>
  <r>
    <d v="2025-10-24T19:17:44"/>
    <x v="8"/>
    <x v="0"/>
    <x v="0"/>
    <x v="0"/>
    <x v="3"/>
    <x v="0"/>
    <x v="0"/>
    <x v="0"/>
    <x v="3"/>
    <x v="0"/>
    <s v="En la universidad"/>
    <x v="1"/>
    <x v="0"/>
    <x v="3"/>
    <n v="0"/>
    <x v="3"/>
    <x v="1"/>
    <x v="6"/>
    <x v="1"/>
    <x v="0"/>
    <x v="3"/>
    <x v="1"/>
    <x v="2"/>
    <x v="6"/>
    <x v="7"/>
    <x v="8"/>
    <x v="3"/>
  </r>
  <r>
    <d v="2025-10-24T21:46:59"/>
    <x v="9"/>
    <x v="0"/>
    <x v="0"/>
    <x v="0"/>
    <x v="0"/>
    <x v="0"/>
    <x v="0"/>
    <x v="0"/>
    <x v="4"/>
    <x v="1"/>
    <s v="En esta encuesta 😅"/>
    <x v="1"/>
    <x v="1"/>
    <x v="1"/>
    <n v="0"/>
    <x v="3"/>
    <x v="0"/>
    <x v="7"/>
    <x v="1"/>
    <x v="0"/>
    <x v="3"/>
    <x v="1"/>
    <x v="0"/>
    <x v="0"/>
    <x v="8"/>
    <x v="9"/>
    <x v="3"/>
  </r>
  <r>
    <d v="2025-10-21T23:37:49"/>
    <x v="10"/>
    <x v="0"/>
    <x v="0"/>
    <x v="0"/>
    <x v="0"/>
    <x v="1"/>
    <x v="1"/>
    <x v="0"/>
    <x v="3"/>
    <x v="1"/>
    <s v="En esta encuesta 😅"/>
    <x v="1"/>
    <x v="1"/>
    <x v="1"/>
    <n v="0"/>
    <x v="0"/>
    <x v="0"/>
    <x v="0"/>
    <x v="3"/>
    <x v="2"/>
    <x v="3"/>
    <x v="3"/>
    <x v="1"/>
    <x v="7"/>
    <x v="8"/>
    <x v="6"/>
    <x v="0"/>
  </r>
  <r>
    <d v="2025-10-21T23:52:27"/>
    <x v="11"/>
    <x v="0"/>
    <x v="0"/>
    <x v="0"/>
    <x v="0"/>
    <x v="0"/>
    <x v="1"/>
    <x v="0"/>
    <x v="2"/>
    <x v="1"/>
    <s v="En esta encuesta 😅"/>
    <x v="1"/>
    <x v="1"/>
    <x v="1"/>
    <n v="0"/>
    <x v="3"/>
    <x v="4"/>
    <x v="6"/>
    <x v="1"/>
    <x v="2"/>
    <x v="4"/>
    <x v="1"/>
    <x v="0"/>
    <x v="8"/>
    <x v="9"/>
    <x v="9"/>
    <x v="0"/>
  </r>
  <r>
    <d v="2025-10-22T00:12:47"/>
    <x v="12"/>
    <x v="0"/>
    <x v="0"/>
    <x v="0"/>
    <x v="0"/>
    <x v="1"/>
    <x v="1"/>
    <x v="2"/>
    <x v="2"/>
    <x v="0"/>
    <s v="En otros medios de comunicación"/>
    <x v="4"/>
    <x v="2"/>
    <x v="4"/>
    <n v="0"/>
    <x v="2"/>
    <x v="0"/>
    <x v="8"/>
    <x v="4"/>
    <x v="3"/>
    <x v="1"/>
    <x v="1"/>
    <x v="3"/>
    <x v="9"/>
    <x v="10"/>
    <x v="10"/>
    <x v="1"/>
  </r>
  <r>
    <d v="2025-10-22T04:12:04"/>
    <x v="13"/>
    <x v="0"/>
    <x v="0"/>
    <x v="0"/>
    <x v="1"/>
    <x v="1"/>
    <x v="1"/>
    <x v="0"/>
    <x v="1"/>
    <x v="0"/>
    <s v="En la universidad"/>
    <x v="2"/>
    <x v="0"/>
    <x v="5"/>
    <n v="0"/>
    <x v="0"/>
    <x v="1"/>
    <x v="0"/>
    <x v="1"/>
    <x v="2"/>
    <x v="4"/>
    <x v="1"/>
    <x v="1"/>
    <x v="10"/>
    <x v="1"/>
    <x v="0"/>
    <x v="1"/>
  </r>
  <r>
    <d v="2025-10-22T20:59:36"/>
    <x v="14"/>
    <x v="0"/>
    <x v="0"/>
    <x v="0"/>
    <x v="2"/>
    <x v="1"/>
    <x v="1"/>
    <x v="0"/>
    <x v="5"/>
    <x v="0"/>
    <s v="En la universidad"/>
    <x v="1"/>
    <x v="1"/>
    <x v="6"/>
    <n v="0"/>
    <x v="2"/>
    <x v="0"/>
    <x v="1"/>
    <x v="3"/>
    <x v="0"/>
    <x v="1"/>
    <x v="2"/>
    <x v="1"/>
    <x v="11"/>
    <x v="11"/>
    <x v="1"/>
    <x v="1"/>
  </r>
  <r>
    <d v="2025-10-22T22:20:34"/>
    <x v="15"/>
    <x v="0"/>
    <x v="0"/>
    <x v="0"/>
    <x v="2"/>
    <x v="1"/>
    <x v="1"/>
    <x v="0"/>
    <x v="4"/>
    <x v="1"/>
    <s v="En esta encuesta 😅"/>
    <x v="1"/>
    <x v="1"/>
    <x v="3"/>
    <n v="0"/>
    <x v="1"/>
    <x v="2"/>
    <x v="5"/>
    <x v="1"/>
    <x v="0"/>
    <x v="5"/>
    <x v="2"/>
    <x v="2"/>
    <x v="6"/>
    <x v="12"/>
    <x v="11"/>
    <x v="1"/>
  </r>
  <r>
    <d v="2025-10-23T12:44:30"/>
    <x v="16"/>
    <x v="0"/>
    <x v="0"/>
    <x v="0"/>
    <x v="2"/>
    <x v="1"/>
    <x v="1"/>
    <x v="0"/>
    <x v="0"/>
    <x v="0"/>
    <s v="En cursos o conferencias"/>
    <x v="2"/>
    <x v="1"/>
    <x v="7"/>
    <n v="2"/>
    <x v="2"/>
    <x v="3"/>
    <x v="4"/>
    <x v="3"/>
    <x v="2"/>
    <x v="3"/>
    <x v="2"/>
    <x v="3"/>
    <x v="5"/>
    <x v="13"/>
    <x v="12"/>
    <x v="2"/>
  </r>
  <r>
    <d v="2025-10-23T12:49:26"/>
    <x v="17"/>
    <x v="0"/>
    <x v="0"/>
    <x v="0"/>
    <x v="2"/>
    <x v="1"/>
    <x v="1"/>
    <x v="0"/>
    <x v="5"/>
    <x v="0"/>
    <s v="En cursos o conferencias"/>
    <x v="2"/>
    <x v="1"/>
    <x v="8"/>
    <n v="0"/>
    <x v="2"/>
    <x v="2"/>
    <x v="4"/>
    <x v="3"/>
    <x v="2"/>
    <x v="4"/>
    <x v="1"/>
    <x v="0"/>
    <x v="3"/>
    <x v="14"/>
    <x v="13"/>
    <x v="2"/>
  </r>
  <r>
    <d v="2025-10-23T12:54:23"/>
    <x v="18"/>
    <x v="0"/>
    <x v="0"/>
    <x v="0"/>
    <x v="2"/>
    <x v="0"/>
    <x v="1"/>
    <x v="0"/>
    <x v="5"/>
    <x v="0"/>
    <s v="En cursos o conferencias"/>
    <x v="1"/>
    <x v="1"/>
    <x v="1"/>
    <n v="0"/>
    <x v="1"/>
    <x v="2"/>
    <x v="3"/>
    <x v="1"/>
    <x v="0"/>
    <x v="2"/>
    <x v="2"/>
    <x v="3"/>
    <x v="12"/>
    <x v="15"/>
    <x v="14"/>
    <x v="2"/>
  </r>
  <r>
    <d v="2025-10-23T13:08:17"/>
    <x v="19"/>
    <x v="0"/>
    <x v="0"/>
    <x v="0"/>
    <x v="2"/>
    <x v="0"/>
    <x v="1"/>
    <x v="0"/>
    <x v="5"/>
    <x v="1"/>
    <s v="En esta encuesta 😅"/>
    <x v="1"/>
    <x v="1"/>
    <x v="1"/>
    <n v="0"/>
    <x v="1"/>
    <x v="3"/>
    <x v="9"/>
    <x v="0"/>
    <x v="1"/>
    <x v="2"/>
    <x v="0"/>
    <x v="0"/>
    <x v="6"/>
    <x v="16"/>
    <x v="15"/>
    <x v="2"/>
  </r>
  <r>
    <d v="2025-10-23T13:32:33"/>
    <x v="20"/>
    <x v="0"/>
    <x v="0"/>
    <x v="0"/>
    <x v="2"/>
    <x v="0"/>
    <x v="1"/>
    <x v="0"/>
    <x v="1"/>
    <x v="0"/>
    <s v="En la universidad"/>
    <x v="1"/>
    <x v="1"/>
    <x v="1"/>
    <n v="0"/>
    <x v="1"/>
    <x v="2"/>
    <x v="4"/>
    <x v="1"/>
    <x v="2"/>
    <x v="2"/>
    <x v="1"/>
    <x v="0"/>
    <x v="10"/>
    <x v="17"/>
    <x v="15"/>
    <x v="2"/>
  </r>
  <r>
    <d v="2025-10-23T13:37:56"/>
    <x v="21"/>
    <x v="0"/>
    <x v="0"/>
    <x v="0"/>
    <x v="2"/>
    <x v="1"/>
    <x v="1"/>
    <x v="0"/>
    <x v="2"/>
    <x v="1"/>
    <s v="En esta encuesta 😅"/>
    <x v="1"/>
    <x v="1"/>
    <x v="1"/>
    <n v="0"/>
    <x v="2"/>
    <x v="4"/>
    <x v="10"/>
    <x v="1"/>
    <x v="1"/>
    <x v="2"/>
    <x v="1"/>
    <x v="0"/>
    <x v="3"/>
    <x v="18"/>
    <x v="6"/>
    <x v="2"/>
  </r>
  <r>
    <d v="2025-10-23T13:50:49"/>
    <x v="22"/>
    <x v="0"/>
    <x v="0"/>
    <x v="0"/>
    <x v="2"/>
    <x v="0"/>
    <x v="1"/>
    <x v="0"/>
    <x v="2"/>
    <x v="0"/>
    <s v="En cursos o conferencias"/>
    <x v="2"/>
    <x v="1"/>
    <x v="9"/>
    <n v="0"/>
    <x v="0"/>
    <x v="1"/>
    <x v="11"/>
    <x v="0"/>
    <x v="1"/>
    <x v="4"/>
    <x v="2"/>
    <x v="0"/>
    <x v="12"/>
    <x v="19"/>
    <x v="16"/>
    <x v="2"/>
  </r>
  <r>
    <d v="2025-10-23T14:04:40"/>
    <x v="23"/>
    <x v="0"/>
    <x v="0"/>
    <x v="0"/>
    <x v="2"/>
    <x v="1"/>
    <x v="1"/>
    <x v="0"/>
    <x v="1"/>
    <x v="0"/>
    <s v="En la universidad"/>
    <x v="1"/>
    <x v="1"/>
    <x v="3"/>
    <n v="0"/>
    <x v="1"/>
    <x v="3"/>
    <x v="12"/>
    <x v="1"/>
    <x v="0"/>
    <x v="0"/>
    <x v="0"/>
    <x v="0"/>
    <x v="12"/>
    <x v="20"/>
    <x v="5"/>
    <x v="2"/>
  </r>
  <r>
    <d v="2025-10-23T14:17:29"/>
    <x v="24"/>
    <x v="0"/>
    <x v="0"/>
    <x v="0"/>
    <x v="2"/>
    <x v="0"/>
    <x v="1"/>
    <x v="0"/>
    <x v="2"/>
    <x v="0"/>
    <s v="En cursos o conferencias"/>
    <x v="2"/>
    <x v="0"/>
    <x v="10"/>
    <n v="0"/>
    <x v="1"/>
    <x v="1"/>
    <x v="13"/>
    <x v="0"/>
    <x v="1"/>
    <x v="0"/>
    <x v="2"/>
    <x v="1"/>
    <x v="13"/>
    <x v="12"/>
    <x v="12"/>
    <x v="2"/>
  </r>
  <r>
    <d v="2025-10-23T14:24:20"/>
    <x v="25"/>
    <x v="0"/>
    <x v="0"/>
    <x v="0"/>
    <x v="2"/>
    <x v="0"/>
    <x v="1"/>
    <x v="0"/>
    <x v="5"/>
    <x v="0"/>
    <s v="En redes sociales"/>
    <x v="2"/>
    <x v="0"/>
    <x v="11"/>
    <n v="2"/>
    <x v="0"/>
    <x v="4"/>
    <x v="14"/>
    <x v="0"/>
    <x v="4"/>
    <x v="3"/>
    <x v="2"/>
    <x v="3"/>
    <x v="13"/>
    <x v="21"/>
    <x v="5"/>
    <x v="2"/>
  </r>
  <r>
    <d v="2025-10-23T15:55:18"/>
    <x v="26"/>
    <x v="0"/>
    <x v="0"/>
    <x v="0"/>
    <x v="0"/>
    <x v="1"/>
    <x v="1"/>
    <x v="0"/>
    <x v="2"/>
    <x v="0"/>
    <s v="En redes sociales"/>
    <x v="1"/>
    <x v="0"/>
    <x v="6"/>
    <n v="0"/>
    <x v="0"/>
    <x v="2"/>
    <x v="2"/>
    <x v="1"/>
    <x v="5"/>
    <x v="3"/>
    <x v="2"/>
    <x v="1"/>
    <x v="3"/>
    <x v="8"/>
    <x v="17"/>
    <x v="2"/>
  </r>
  <r>
    <d v="2025-10-23T17:39:17"/>
    <x v="27"/>
    <x v="0"/>
    <x v="0"/>
    <x v="0"/>
    <x v="2"/>
    <x v="1"/>
    <x v="1"/>
    <x v="0"/>
    <x v="3"/>
    <x v="0"/>
    <s v="En redes sociales"/>
    <x v="1"/>
    <x v="1"/>
    <x v="1"/>
    <n v="0"/>
    <x v="1"/>
    <x v="2"/>
    <x v="9"/>
    <x v="0"/>
    <x v="0"/>
    <x v="3"/>
    <x v="0"/>
    <x v="0"/>
    <x v="12"/>
    <x v="22"/>
    <x v="18"/>
    <x v="2"/>
  </r>
  <r>
    <d v="2025-10-23T17:53:56"/>
    <x v="28"/>
    <x v="0"/>
    <x v="0"/>
    <x v="0"/>
    <x v="2"/>
    <x v="0"/>
    <x v="1"/>
    <x v="0"/>
    <x v="5"/>
    <x v="0"/>
    <s v="En la universidad"/>
    <x v="1"/>
    <x v="1"/>
    <x v="3"/>
    <n v="0"/>
    <x v="1"/>
    <x v="2"/>
    <x v="15"/>
    <x v="1"/>
    <x v="2"/>
    <x v="3"/>
    <x v="2"/>
    <x v="1"/>
    <x v="6"/>
    <x v="23"/>
    <x v="19"/>
    <x v="2"/>
  </r>
  <r>
    <d v="2025-10-23T18:38:30"/>
    <x v="29"/>
    <x v="0"/>
    <x v="0"/>
    <x v="0"/>
    <x v="2"/>
    <x v="0"/>
    <x v="1"/>
    <x v="0"/>
    <x v="3"/>
    <x v="0"/>
    <s v="En cursos o conferencias"/>
    <x v="1"/>
    <x v="1"/>
    <x v="12"/>
    <n v="0"/>
    <x v="1"/>
    <x v="3"/>
    <x v="2"/>
    <x v="3"/>
    <x v="0"/>
    <x v="0"/>
    <x v="0"/>
    <x v="1"/>
    <x v="14"/>
    <x v="24"/>
    <x v="12"/>
    <x v="2"/>
  </r>
  <r>
    <d v="2025-10-23T19:15:59"/>
    <x v="30"/>
    <x v="0"/>
    <x v="0"/>
    <x v="0"/>
    <x v="2"/>
    <x v="0"/>
    <x v="1"/>
    <x v="0"/>
    <x v="0"/>
    <x v="0"/>
    <s v="En redes sociales"/>
    <x v="0"/>
    <x v="3"/>
    <x v="13"/>
    <n v="1"/>
    <x v="2"/>
    <x v="2"/>
    <x v="16"/>
    <x v="0"/>
    <x v="2"/>
    <x v="4"/>
    <x v="0"/>
    <x v="1"/>
    <x v="12"/>
    <x v="25"/>
    <x v="20"/>
    <x v="2"/>
  </r>
  <r>
    <d v="2025-10-23T19:30:52"/>
    <x v="31"/>
    <x v="0"/>
    <x v="0"/>
    <x v="0"/>
    <x v="0"/>
    <x v="3"/>
    <x v="1"/>
    <x v="0"/>
    <x v="2"/>
    <x v="0"/>
    <s v="Por interés propio / autoaprendizaje"/>
    <x v="2"/>
    <x v="3"/>
    <x v="14"/>
    <n v="3"/>
    <x v="0"/>
    <x v="4"/>
    <x v="15"/>
    <x v="0"/>
    <x v="1"/>
    <x v="3"/>
    <x v="1"/>
    <x v="0"/>
    <x v="1"/>
    <x v="26"/>
    <x v="13"/>
    <x v="2"/>
  </r>
  <r>
    <d v="2025-10-23T19:35:28"/>
    <x v="32"/>
    <x v="0"/>
    <x v="0"/>
    <x v="0"/>
    <x v="2"/>
    <x v="0"/>
    <x v="1"/>
    <x v="0"/>
    <x v="5"/>
    <x v="0"/>
    <s v="En cursos o conferencias"/>
    <x v="1"/>
    <x v="1"/>
    <x v="5"/>
    <n v="1"/>
    <x v="1"/>
    <x v="3"/>
    <x v="4"/>
    <x v="0"/>
    <x v="2"/>
    <x v="4"/>
    <x v="2"/>
    <x v="1"/>
    <x v="12"/>
    <x v="27"/>
    <x v="18"/>
    <x v="2"/>
  </r>
  <r>
    <d v="2025-10-23T19:53:46"/>
    <x v="33"/>
    <x v="0"/>
    <x v="0"/>
    <x v="0"/>
    <x v="2"/>
    <x v="0"/>
    <x v="1"/>
    <x v="0"/>
    <x v="3"/>
    <x v="0"/>
    <s v="En redes sociales"/>
    <x v="1"/>
    <x v="1"/>
    <x v="3"/>
    <n v="0"/>
    <x v="0"/>
    <x v="1"/>
    <x v="2"/>
    <x v="3"/>
    <x v="2"/>
    <x v="0"/>
    <x v="1"/>
    <x v="1"/>
    <x v="14"/>
    <x v="28"/>
    <x v="16"/>
    <x v="2"/>
  </r>
  <r>
    <d v="2025-10-24T09:52:10"/>
    <x v="34"/>
    <x v="0"/>
    <x v="0"/>
    <x v="0"/>
    <x v="1"/>
    <x v="1"/>
    <x v="1"/>
    <x v="1"/>
    <x v="2"/>
    <x v="1"/>
    <s v="En esta encuesta 😅"/>
    <x v="1"/>
    <x v="1"/>
    <x v="1"/>
    <n v="0"/>
    <x v="1"/>
    <x v="2"/>
    <x v="7"/>
    <x v="2"/>
    <x v="2"/>
    <x v="3"/>
    <x v="0"/>
    <x v="0"/>
    <x v="6"/>
    <x v="7"/>
    <x v="7"/>
    <x v="3"/>
  </r>
  <r>
    <d v="2025-10-24T10:08:40"/>
    <x v="35"/>
    <x v="0"/>
    <x v="0"/>
    <x v="0"/>
    <x v="1"/>
    <x v="0"/>
    <x v="1"/>
    <x v="0"/>
    <x v="4"/>
    <x v="1"/>
    <s v="En esta encuesta 😅"/>
    <x v="1"/>
    <x v="1"/>
    <x v="1"/>
    <n v="0"/>
    <x v="1"/>
    <x v="2"/>
    <x v="7"/>
    <x v="2"/>
    <x v="0"/>
    <x v="1"/>
    <x v="0"/>
    <x v="0"/>
    <x v="0"/>
    <x v="7"/>
    <x v="21"/>
    <x v="3"/>
  </r>
  <r>
    <d v="2025-10-24T11:07:15"/>
    <x v="36"/>
    <x v="0"/>
    <x v="0"/>
    <x v="0"/>
    <x v="1"/>
    <x v="0"/>
    <x v="1"/>
    <x v="0"/>
    <x v="4"/>
    <x v="1"/>
    <s v="En esta encuesta 😅"/>
    <x v="1"/>
    <x v="1"/>
    <x v="1"/>
    <n v="0"/>
    <x v="1"/>
    <x v="1"/>
    <x v="7"/>
    <x v="2"/>
    <x v="0"/>
    <x v="2"/>
    <x v="1"/>
    <x v="0"/>
    <x v="6"/>
    <x v="7"/>
    <x v="21"/>
    <x v="3"/>
  </r>
  <r>
    <d v="2025-10-24T13:21:15"/>
    <x v="37"/>
    <x v="0"/>
    <x v="0"/>
    <x v="0"/>
    <x v="1"/>
    <x v="1"/>
    <x v="1"/>
    <x v="0"/>
    <x v="2"/>
    <x v="0"/>
    <s v="En redes sociales"/>
    <x v="2"/>
    <x v="0"/>
    <x v="3"/>
    <n v="0"/>
    <x v="0"/>
    <x v="1"/>
    <x v="0"/>
    <x v="1"/>
    <x v="2"/>
    <x v="3"/>
    <x v="0"/>
    <x v="1"/>
    <x v="0"/>
    <x v="6"/>
    <x v="22"/>
    <x v="3"/>
  </r>
  <r>
    <d v="2025-10-24T14:10:39"/>
    <x v="38"/>
    <x v="0"/>
    <x v="0"/>
    <x v="0"/>
    <x v="1"/>
    <x v="0"/>
    <x v="1"/>
    <x v="0"/>
    <x v="4"/>
    <x v="1"/>
    <s v="En esta encuesta 😅"/>
    <x v="1"/>
    <x v="1"/>
    <x v="1"/>
    <n v="0"/>
    <x v="1"/>
    <x v="2"/>
    <x v="7"/>
    <x v="2"/>
    <x v="0"/>
    <x v="2"/>
    <x v="1"/>
    <x v="0"/>
    <x v="0"/>
    <x v="7"/>
    <x v="7"/>
    <x v="3"/>
  </r>
  <r>
    <d v="2025-10-24T17:14:34"/>
    <x v="39"/>
    <x v="0"/>
    <x v="0"/>
    <x v="0"/>
    <x v="1"/>
    <x v="0"/>
    <x v="1"/>
    <x v="0"/>
    <x v="1"/>
    <x v="0"/>
    <s v="En redes sociales"/>
    <x v="2"/>
    <x v="0"/>
    <x v="3"/>
    <n v="0"/>
    <x v="0"/>
    <x v="1"/>
    <x v="0"/>
    <x v="1"/>
    <x v="1"/>
    <x v="3"/>
    <x v="0"/>
    <x v="1"/>
    <x v="6"/>
    <x v="6"/>
    <x v="7"/>
    <x v="3"/>
  </r>
  <r>
    <d v="2025-10-24T17:55:13"/>
    <x v="40"/>
    <x v="0"/>
    <x v="0"/>
    <x v="0"/>
    <x v="1"/>
    <x v="0"/>
    <x v="1"/>
    <x v="0"/>
    <x v="1"/>
    <x v="1"/>
    <s v="En esta encuesta 😅"/>
    <x v="1"/>
    <x v="1"/>
    <x v="1"/>
    <n v="0"/>
    <x v="1"/>
    <x v="2"/>
    <x v="7"/>
    <x v="2"/>
    <x v="0"/>
    <x v="2"/>
    <x v="1"/>
    <x v="0"/>
    <x v="0"/>
    <x v="7"/>
    <x v="12"/>
    <x v="3"/>
  </r>
  <r>
    <d v="2025-10-24T18:57:53"/>
    <x v="41"/>
    <x v="0"/>
    <x v="0"/>
    <x v="0"/>
    <x v="3"/>
    <x v="0"/>
    <x v="1"/>
    <x v="0"/>
    <x v="1"/>
    <x v="1"/>
    <s v="En esta encuesta 😅"/>
    <x v="1"/>
    <x v="1"/>
    <x v="1"/>
    <n v="0"/>
    <x v="4"/>
    <x v="3"/>
    <x v="17"/>
    <x v="2"/>
    <x v="0"/>
    <x v="6"/>
    <x v="1"/>
    <x v="0"/>
    <x v="15"/>
    <x v="7"/>
    <x v="23"/>
    <x v="3"/>
  </r>
  <r>
    <d v="2025-10-24T19:13:04"/>
    <x v="42"/>
    <x v="0"/>
    <x v="0"/>
    <x v="0"/>
    <x v="3"/>
    <x v="1"/>
    <x v="1"/>
    <x v="0"/>
    <x v="3"/>
    <x v="1"/>
    <s v="En esta encuesta 😅"/>
    <x v="1"/>
    <x v="1"/>
    <x v="1"/>
    <n v="0"/>
    <x v="4"/>
    <x v="3"/>
    <x v="1"/>
    <x v="2"/>
    <x v="2"/>
    <x v="3"/>
    <x v="1"/>
    <x v="3"/>
    <x v="16"/>
    <x v="7"/>
    <x v="24"/>
    <x v="3"/>
  </r>
  <r>
    <d v="2025-10-24T19:38:15"/>
    <x v="43"/>
    <x v="0"/>
    <x v="0"/>
    <x v="0"/>
    <x v="3"/>
    <x v="1"/>
    <x v="1"/>
    <x v="0"/>
    <x v="3"/>
    <x v="0"/>
    <s v="En redes sociales"/>
    <x v="2"/>
    <x v="1"/>
    <x v="3"/>
    <n v="0"/>
    <x v="3"/>
    <x v="2"/>
    <x v="1"/>
    <x v="2"/>
    <x v="0"/>
    <x v="4"/>
    <x v="0"/>
    <x v="0"/>
    <x v="6"/>
    <x v="7"/>
    <x v="15"/>
    <x v="3"/>
  </r>
  <r>
    <d v="2025-10-24T20:01:03"/>
    <x v="44"/>
    <x v="0"/>
    <x v="0"/>
    <x v="0"/>
    <x v="3"/>
    <x v="1"/>
    <x v="1"/>
    <x v="0"/>
    <x v="0"/>
    <x v="1"/>
    <s v="En esta encuesta 😅"/>
    <x v="1"/>
    <x v="1"/>
    <x v="1"/>
    <n v="0"/>
    <x v="4"/>
    <x v="3"/>
    <x v="18"/>
    <x v="2"/>
    <x v="1"/>
    <x v="3"/>
    <x v="1"/>
    <x v="0"/>
    <x v="17"/>
    <x v="7"/>
    <x v="25"/>
    <x v="3"/>
  </r>
  <r>
    <d v="2025-10-24T20:38:26"/>
    <x v="45"/>
    <x v="0"/>
    <x v="0"/>
    <x v="0"/>
    <x v="3"/>
    <x v="1"/>
    <x v="1"/>
    <x v="0"/>
    <x v="1"/>
    <x v="0"/>
    <s v="En redes sociales"/>
    <x v="2"/>
    <x v="0"/>
    <x v="3"/>
    <n v="0"/>
    <x v="3"/>
    <x v="2"/>
    <x v="11"/>
    <x v="1"/>
    <x v="0"/>
    <x v="4"/>
    <x v="2"/>
    <x v="0"/>
    <x v="11"/>
    <x v="7"/>
    <x v="26"/>
    <x v="3"/>
  </r>
  <r>
    <d v="2025-10-24T20:43:47"/>
    <x v="46"/>
    <x v="0"/>
    <x v="0"/>
    <x v="0"/>
    <x v="3"/>
    <x v="1"/>
    <x v="1"/>
    <x v="0"/>
    <x v="4"/>
    <x v="1"/>
    <s v="En esta encuesta 😅"/>
    <x v="1"/>
    <x v="1"/>
    <x v="1"/>
    <n v="0"/>
    <x v="4"/>
    <x v="3"/>
    <x v="19"/>
    <x v="2"/>
    <x v="1"/>
    <x v="4"/>
    <x v="1"/>
    <x v="0"/>
    <x v="18"/>
    <x v="7"/>
    <x v="27"/>
    <x v="3"/>
  </r>
  <r>
    <d v="2025-10-24T21:19:36"/>
    <x v="47"/>
    <x v="0"/>
    <x v="0"/>
    <x v="0"/>
    <x v="0"/>
    <x v="1"/>
    <x v="1"/>
    <x v="0"/>
    <x v="2"/>
    <x v="1"/>
    <s v="En esta encuesta 😅"/>
    <x v="1"/>
    <x v="1"/>
    <x v="1"/>
    <n v="0"/>
    <x v="3"/>
    <x v="3"/>
    <x v="20"/>
    <x v="2"/>
    <x v="0"/>
    <x v="6"/>
    <x v="1"/>
    <x v="2"/>
    <x v="19"/>
    <x v="7"/>
    <x v="22"/>
    <x v="3"/>
  </r>
  <r>
    <d v="2025-10-24T21:21:31"/>
    <x v="48"/>
    <x v="0"/>
    <x v="0"/>
    <x v="0"/>
    <x v="0"/>
    <x v="0"/>
    <x v="1"/>
    <x v="0"/>
    <x v="2"/>
    <x v="0"/>
    <s v="En otros medios de comunicación"/>
    <x v="1"/>
    <x v="0"/>
    <x v="3"/>
    <n v="0"/>
    <x v="3"/>
    <x v="3"/>
    <x v="0"/>
    <x v="1"/>
    <x v="4"/>
    <x v="2"/>
    <x v="1"/>
    <x v="0"/>
    <x v="20"/>
    <x v="7"/>
    <x v="28"/>
    <x v="3"/>
  </r>
  <r>
    <d v="2025-10-24T21:38:31"/>
    <x v="49"/>
    <x v="0"/>
    <x v="0"/>
    <x v="0"/>
    <x v="0"/>
    <x v="1"/>
    <x v="1"/>
    <x v="2"/>
    <x v="2"/>
    <x v="1"/>
    <s v="En esta encuesta 😅"/>
    <x v="1"/>
    <x v="1"/>
    <x v="1"/>
    <n v="0"/>
    <x v="4"/>
    <x v="3"/>
    <x v="20"/>
    <x v="2"/>
    <x v="0"/>
    <x v="7"/>
    <x v="1"/>
    <x v="2"/>
    <x v="21"/>
    <x v="7"/>
    <x v="29"/>
    <x v="3"/>
  </r>
  <r>
    <d v="2025-10-24T22:08:29"/>
    <x v="50"/>
    <x v="0"/>
    <x v="0"/>
    <x v="0"/>
    <x v="0"/>
    <x v="0"/>
    <x v="1"/>
    <x v="0"/>
    <x v="2"/>
    <x v="1"/>
    <s v="En esta encuesta 😅"/>
    <x v="1"/>
    <x v="1"/>
    <x v="1"/>
    <n v="0"/>
    <x v="4"/>
    <x v="3"/>
    <x v="20"/>
    <x v="2"/>
    <x v="0"/>
    <x v="2"/>
    <x v="1"/>
    <x v="0"/>
    <x v="21"/>
    <x v="29"/>
    <x v="29"/>
    <x v="3"/>
  </r>
  <r>
    <d v="2025-10-24T22:28:22"/>
    <x v="51"/>
    <x v="0"/>
    <x v="0"/>
    <x v="0"/>
    <x v="3"/>
    <x v="0"/>
    <x v="1"/>
    <x v="0"/>
    <x v="1"/>
    <x v="0"/>
    <s v="En otros medios de comunicación"/>
    <x v="1"/>
    <x v="1"/>
    <x v="3"/>
    <n v="0"/>
    <x v="4"/>
    <x v="3"/>
    <x v="1"/>
    <x v="2"/>
    <x v="1"/>
    <x v="0"/>
    <x v="0"/>
    <x v="0"/>
    <x v="7"/>
    <x v="7"/>
    <x v="30"/>
    <x v="3"/>
  </r>
  <r>
    <d v="2025-10-19T21:52:08"/>
    <x v="52"/>
    <x v="0"/>
    <x v="0"/>
    <x v="0"/>
    <x v="3"/>
    <x v="1"/>
    <x v="2"/>
    <x v="1"/>
    <x v="2"/>
    <x v="1"/>
    <s v="En esta encuesta 😅"/>
    <x v="1"/>
    <x v="1"/>
    <x v="1"/>
    <n v="0"/>
    <x v="0"/>
    <x v="4"/>
    <x v="21"/>
    <x v="0"/>
    <x v="6"/>
    <x v="1"/>
    <x v="1"/>
    <x v="1"/>
    <x v="7"/>
    <x v="30"/>
    <x v="30"/>
    <x v="4"/>
  </r>
  <r>
    <d v="2025-10-21T23:06:47"/>
    <x v="53"/>
    <x v="0"/>
    <x v="0"/>
    <x v="0"/>
    <x v="2"/>
    <x v="0"/>
    <x v="2"/>
    <x v="0"/>
    <x v="5"/>
    <x v="0"/>
    <s v="Por interés propio / autoaprendizaje"/>
    <x v="0"/>
    <x v="3"/>
    <x v="15"/>
    <n v="2"/>
    <x v="2"/>
    <x v="0"/>
    <x v="10"/>
    <x v="3"/>
    <x v="1"/>
    <x v="1"/>
    <x v="2"/>
    <x v="1"/>
    <x v="11"/>
    <x v="31"/>
    <x v="26"/>
    <x v="0"/>
  </r>
  <r>
    <d v="2025-10-21T23:40:52"/>
    <x v="54"/>
    <x v="0"/>
    <x v="0"/>
    <x v="0"/>
    <x v="0"/>
    <x v="1"/>
    <x v="2"/>
    <x v="1"/>
    <x v="5"/>
    <x v="0"/>
    <s v="En la universidad"/>
    <x v="2"/>
    <x v="3"/>
    <x v="16"/>
    <n v="0"/>
    <x v="1"/>
    <x v="4"/>
    <x v="14"/>
    <x v="1"/>
    <x v="1"/>
    <x v="1"/>
    <x v="1"/>
    <x v="0"/>
    <x v="14"/>
    <x v="32"/>
    <x v="31"/>
    <x v="0"/>
  </r>
  <r>
    <d v="2025-10-22T04:30:49"/>
    <x v="55"/>
    <x v="0"/>
    <x v="0"/>
    <x v="0"/>
    <x v="1"/>
    <x v="1"/>
    <x v="2"/>
    <x v="0"/>
    <x v="4"/>
    <x v="0"/>
    <s v="En redes sociales"/>
    <x v="1"/>
    <x v="1"/>
    <x v="1"/>
    <n v="0"/>
    <x v="0"/>
    <x v="4"/>
    <x v="7"/>
    <x v="0"/>
    <x v="5"/>
    <x v="1"/>
    <x v="1"/>
    <x v="3"/>
    <x v="0"/>
    <x v="10"/>
    <x v="32"/>
    <x v="1"/>
  </r>
  <r>
    <d v="2025-10-22T04:36:31"/>
    <x v="56"/>
    <x v="0"/>
    <x v="0"/>
    <x v="0"/>
    <x v="1"/>
    <x v="1"/>
    <x v="2"/>
    <x v="0"/>
    <x v="1"/>
    <x v="0"/>
    <s v="Por interés propio / autoaprendizaje"/>
    <x v="2"/>
    <x v="0"/>
    <x v="4"/>
    <n v="0"/>
    <x v="2"/>
    <x v="0"/>
    <x v="15"/>
    <x v="4"/>
    <x v="5"/>
    <x v="1"/>
    <x v="1"/>
    <x v="1"/>
    <x v="22"/>
    <x v="10"/>
    <x v="1"/>
    <x v="1"/>
  </r>
  <r>
    <d v="2025-10-22T09:21:36"/>
    <x v="57"/>
    <x v="0"/>
    <x v="0"/>
    <x v="0"/>
    <x v="1"/>
    <x v="1"/>
    <x v="2"/>
    <x v="0"/>
    <x v="2"/>
    <x v="0"/>
    <s v="En esta encuesta 😅"/>
    <x v="1"/>
    <x v="1"/>
    <x v="1"/>
    <n v="0"/>
    <x v="1"/>
    <x v="1"/>
    <x v="7"/>
    <x v="0"/>
    <x v="5"/>
    <x v="4"/>
    <x v="1"/>
    <x v="1"/>
    <x v="23"/>
    <x v="33"/>
    <x v="33"/>
    <x v="1"/>
  </r>
  <r>
    <d v="2025-10-22T09:24:13"/>
    <x v="58"/>
    <x v="0"/>
    <x v="0"/>
    <x v="0"/>
    <x v="1"/>
    <x v="0"/>
    <x v="2"/>
    <x v="0"/>
    <x v="0"/>
    <x v="0"/>
    <s v="En la universidad"/>
    <x v="2"/>
    <x v="0"/>
    <x v="4"/>
    <n v="10"/>
    <x v="2"/>
    <x v="0"/>
    <x v="15"/>
    <x v="4"/>
    <x v="7"/>
    <x v="1"/>
    <x v="1"/>
    <x v="3"/>
    <x v="2"/>
    <x v="30"/>
    <x v="28"/>
    <x v="1"/>
  </r>
  <r>
    <d v="2025-10-22T21:17:15"/>
    <x v="59"/>
    <x v="0"/>
    <x v="0"/>
    <x v="0"/>
    <x v="2"/>
    <x v="0"/>
    <x v="2"/>
    <x v="0"/>
    <x v="0"/>
    <x v="0"/>
    <s v="En la universidad"/>
    <x v="2"/>
    <x v="0"/>
    <x v="17"/>
    <n v="0"/>
    <x v="2"/>
    <x v="2"/>
    <x v="14"/>
    <x v="3"/>
    <x v="5"/>
    <x v="1"/>
    <x v="2"/>
    <x v="3"/>
    <x v="6"/>
    <x v="34"/>
    <x v="2"/>
    <x v="1"/>
  </r>
  <r>
    <d v="2025-10-23T09:05:36"/>
    <x v="60"/>
    <x v="0"/>
    <x v="0"/>
    <x v="0"/>
    <x v="2"/>
    <x v="1"/>
    <x v="2"/>
    <x v="0"/>
    <x v="4"/>
    <x v="0"/>
    <s v="Por interés propio / autoaprendizaje"/>
    <x v="0"/>
    <x v="3"/>
    <x v="18"/>
    <n v="2"/>
    <x v="2"/>
    <x v="4"/>
    <x v="8"/>
    <x v="3"/>
    <x v="4"/>
    <x v="1"/>
    <x v="2"/>
    <x v="3"/>
    <x v="14"/>
    <x v="35"/>
    <x v="13"/>
    <x v="2"/>
  </r>
  <r>
    <d v="2025-10-23T09:19:49"/>
    <x v="61"/>
    <x v="0"/>
    <x v="0"/>
    <x v="0"/>
    <x v="2"/>
    <x v="0"/>
    <x v="2"/>
    <x v="0"/>
    <x v="5"/>
    <x v="0"/>
    <s v="Por interés propio / autoaprendizaje"/>
    <x v="2"/>
    <x v="1"/>
    <x v="8"/>
    <n v="1"/>
    <x v="2"/>
    <x v="2"/>
    <x v="22"/>
    <x v="1"/>
    <x v="1"/>
    <x v="4"/>
    <x v="0"/>
    <x v="1"/>
    <x v="3"/>
    <x v="36"/>
    <x v="1"/>
    <x v="2"/>
  </r>
  <r>
    <d v="2025-10-23T13:18:25"/>
    <x v="62"/>
    <x v="0"/>
    <x v="0"/>
    <x v="0"/>
    <x v="2"/>
    <x v="0"/>
    <x v="2"/>
    <x v="0"/>
    <x v="1"/>
    <x v="0"/>
    <s v="En la universidad"/>
    <x v="1"/>
    <x v="1"/>
    <x v="19"/>
    <n v="0"/>
    <x v="0"/>
    <x v="3"/>
    <x v="0"/>
    <x v="1"/>
    <x v="0"/>
    <x v="5"/>
    <x v="1"/>
    <x v="0"/>
    <x v="6"/>
    <x v="37"/>
    <x v="4"/>
    <x v="2"/>
  </r>
  <r>
    <d v="2025-10-23T14:20:52"/>
    <x v="63"/>
    <x v="0"/>
    <x v="0"/>
    <x v="0"/>
    <x v="2"/>
    <x v="0"/>
    <x v="2"/>
    <x v="0"/>
    <x v="1"/>
    <x v="1"/>
    <s v="En esta encuesta 😅"/>
    <x v="1"/>
    <x v="1"/>
    <x v="1"/>
    <n v="0"/>
    <x v="1"/>
    <x v="1"/>
    <x v="3"/>
    <x v="0"/>
    <x v="0"/>
    <x v="2"/>
    <x v="0"/>
    <x v="1"/>
    <x v="13"/>
    <x v="4"/>
    <x v="0"/>
    <x v="2"/>
  </r>
  <r>
    <d v="2025-10-23T16:08:24"/>
    <x v="64"/>
    <x v="0"/>
    <x v="0"/>
    <x v="0"/>
    <x v="0"/>
    <x v="1"/>
    <x v="2"/>
    <x v="0"/>
    <x v="2"/>
    <x v="0"/>
    <s v="En redes sociales"/>
    <x v="2"/>
    <x v="2"/>
    <x v="20"/>
    <n v="1"/>
    <x v="2"/>
    <x v="0"/>
    <x v="1"/>
    <x v="3"/>
    <x v="1"/>
    <x v="1"/>
    <x v="3"/>
    <x v="1"/>
    <x v="10"/>
    <x v="38"/>
    <x v="22"/>
    <x v="2"/>
  </r>
  <r>
    <d v="2025-10-23T18:02:10"/>
    <x v="65"/>
    <x v="0"/>
    <x v="0"/>
    <x v="0"/>
    <x v="2"/>
    <x v="1"/>
    <x v="2"/>
    <x v="0"/>
    <x v="0"/>
    <x v="0"/>
    <s v="En redes sociales"/>
    <x v="1"/>
    <x v="1"/>
    <x v="21"/>
    <n v="0"/>
    <x v="0"/>
    <x v="2"/>
    <x v="13"/>
    <x v="0"/>
    <x v="1"/>
    <x v="5"/>
    <x v="0"/>
    <x v="0"/>
    <x v="3"/>
    <x v="14"/>
    <x v="12"/>
    <x v="2"/>
  </r>
  <r>
    <d v="2025-10-23T18:14:05"/>
    <x v="66"/>
    <x v="0"/>
    <x v="0"/>
    <x v="0"/>
    <x v="2"/>
    <x v="0"/>
    <x v="2"/>
    <x v="0"/>
    <x v="3"/>
    <x v="0"/>
    <s v="En la universidad"/>
    <x v="2"/>
    <x v="1"/>
    <x v="10"/>
    <n v="0"/>
    <x v="0"/>
    <x v="1"/>
    <x v="14"/>
    <x v="0"/>
    <x v="2"/>
    <x v="1"/>
    <x v="0"/>
    <x v="1"/>
    <x v="12"/>
    <x v="39"/>
    <x v="34"/>
    <x v="2"/>
  </r>
  <r>
    <d v="2025-10-23T19:13:57"/>
    <x v="67"/>
    <x v="0"/>
    <x v="0"/>
    <x v="0"/>
    <x v="0"/>
    <x v="0"/>
    <x v="2"/>
    <x v="0"/>
    <x v="2"/>
    <x v="0"/>
    <s v="En redes sociales"/>
    <x v="1"/>
    <x v="3"/>
    <x v="16"/>
    <n v="1"/>
    <x v="1"/>
    <x v="4"/>
    <x v="6"/>
    <x v="1"/>
    <x v="6"/>
    <x v="3"/>
    <x v="1"/>
    <x v="0"/>
    <x v="7"/>
    <x v="1"/>
    <x v="35"/>
    <x v="2"/>
  </r>
  <r>
    <d v="2025-10-23T19:26:40"/>
    <x v="68"/>
    <x v="0"/>
    <x v="0"/>
    <x v="0"/>
    <x v="0"/>
    <x v="1"/>
    <x v="2"/>
    <x v="0"/>
    <x v="2"/>
    <x v="0"/>
    <s v="En redes sociales"/>
    <x v="2"/>
    <x v="3"/>
    <x v="22"/>
    <n v="1"/>
    <x v="2"/>
    <x v="1"/>
    <x v="10"/>
    <x v="3"/>
    <x v="8"/>
    <x v="1"/>
    <x v="0"/>
    <x v="0"/>
    <x v="24"/>
    <x v="40"/>
    <x v="27"/>
    <x v="2"/>
  </r>
  <r>
    <d v="2025-10-23T19:37:10"/>
    <x v="69"/>
    <x v="0"/>
    <x v="0"/>
    <x v="0"/>
    <x v="0"/>
    <x v="1"/>
    <x v="2"/>
    <x v="2"/>
    <x v="2"/>
    <x v="1"/>
    <s v="En esta encuesta 😅"/>
    <x v="1"/>
    <x v="1"/>
    <x v="1"/>
    <n v="0"/>
    <x v="3"/>
    <x v="1"/>
    <x v="0"/>
    <x v="2"/>
    <x v="2"/>
    <x v="6"/>
    <x v="1"/>
    <x v="2"/>
    <x v="19"/>
    <x v="6"/>
    <x v="36"/>
    <x v="2"/>
  </r>
  <r>
    <d v="2025-10-23T19:49:33"/>
    <x v="70"/>
    <x v="0"/>
    <x v="0"/>
    <x v="0"/>
    <x v="0"/>
    <x v="0"/>
    <x v="2"/>
    <x v="0"/>
    <x v="2"/>
    <x v="0"/>
    <s v="En la universidad"/>
    <x v="1"/>
    <x v="1"/>
    <x v="3"/>
    <n v="0"/>
    <x v="1"/>
    <x v="1"/>
    <x v="7"/>
    <x v="1"/>
    <x v="1"/>
    <x v="3"/>
    <x v="1"/>
    <x v="0"/>
    <x v="0"/>
    <x v="10"/>
    <x v="36"/>
    <x v="2"/>
  </r>
  <r>
    <d v="2025-10-24T09:56:58"/>
    <x v="71"/>
    <x v="0"/>
    <x v="0"/>
    <x v="0"/>
    <x v="1"/>
    <x v="0"/>
    <x v="2"/>
    <x v="0"/>
    <x v="4"/>
    <x v="0"/>
    <s v="En redes sociales"/>
    <x v="1"/>
    <x v="1"/>
    <x v="1"/>
    <n v="0"/>
    <x v="0"/>
    <x v="1"/>
    <x v="7"/>
    <x v="1"/>
    <x v="2"/>
    <x v="1"/>
    <x v="1"/>
    <x v="1"/>
    <x v="0"/>
    <x v="8"/>
    <x v="31"/>
    <x v="3"/>
  </r>
  <r>
    <d v="2025-10-24T10:06:21"/>
    <x v="72"/>
    <x v="0"/>
    <x v="0"/>
    <x v="0"/>
    <x v="1"/>
    <x v="1"/>
    <x v="2"/>
    <x v="0"/>
    <x v="2"/>
    <x v="0"/>
    <s v="En la universidad"/>
    <x v="2"/>
    <x v="0"/>
    <x v="3"/>
    <n v="0"/>
    <x v="0"/>
    <x v="1"/>
    <x v="1"/>
    <x v="0"/>
    <x v="6"/>
    <x v="1"/>
    <x v="0"/>
    <x v="3"/>
    <x v="23"/>
    <x v="33"/>
    <x v="18"/>
    <x v="3"/>
  </r>
  <r>
    <d v="2025-10-24T10:21:22"/>
    <x v="73"/>
    <x v="0"/>
    <x v="0"/>
    <x v="0"/>
    <x v="1"/>
    <x v="1"/>
    <x v="2"/>
    <x v="2"/>
    <x v="2"/>
    <x v="0"/>
    <s v="En la universidad"/>
    <x v="1"/>
    <x v="1"/>
    <x v="1"/>
    <n v="0"/>
    <x v="1"/>
    <x v="1"/>
    <x v="1"/>
    <x v="1"/>
    <x v="5"/>
    <x v="3"/>
    <x v="0"/>
    <x v="1"/>
    <x v="16"/>
    <x v="7"/>
    <x v="22"/>
    <x v="3"/>
  </r>
  <r>
    <d v="2025-10-24T10:58:45"/>
    <x v="74"/>
    <x v="0"/>
    <x v="0"/>
    <x v="0"/>
    <x v="1"/>
    <x v="1"/>
    <x v="2"/>
    <x v="0"/>
    <x v="0"/>
    <x v="0"/>
    <s v="Por interés propio / autoaprendizaje"/>
    <x v="0"/>
    <x v="3"/>
    <x v="23"/>
    <n v="1"/>
    <x v="2"/>
    <x v="0"/>
    <x v="23"/>
    <x v="0"/>
    <x v="6"/>
    <x v="1"/>
    <x v="2"/>
    <x v="3"/>
    <x v="13"/>
    <x v="33"/>
    <x v="2"/>
    <x v="3"/>
  </r>
  <r>
    <d v="2025-10-24T11:34:01"/>
    <x v="75"/>
    <x v="0"/>
    <x v="0"/>
    <x v="0"/>
    <x v="1"/>
    <x v="1"/>
    <x v="2"/>
    <x v="1"/>
    <x v="2"/>
    <x v="0"/>
    <s v="En la universidad"/>
    <x v="0"/>
    <x v="3"/>
    <x v="0"/>
    <n v="1"/>
    <x v="2"/>
    <x v="4"/>
    <x v="1"/>
    <x v="0"/>
    <x v="4"/>
    <x v="4"/>
    <x v="2"/>
    <x v="1"/>
    <x v="13"/>
    <x v="8"/>
    <x v="7"/>
    <x v="3"/>
  </r>
  <r>
    <d v="2025-10-24T11:51:10"/>
    <x v="76"/>
    <x v="0"/>
    <x v="0"/>
    <x v="0"/>
    <x v="1"/>
    <x v="0"/>
    <x v="2"/>
    <x v="2"/>
    <x v="1"/>
    <x v="0"/>
    <s v="En redes sociales"/>
    <x v="0"/>
    <x v="3"/>
    <x v="24"/>
    <n v="1"/>
    <x v="2"/>
    <x v="0"/>
    <x v="0"/>
    <x v="0"/>
    <x v="4"/>
    <x v="1"/>
    <x v="2"/>
    <x v="1"/>
    <x v="10"/>
    <x v="10"/>
    <x v="7"/>
    <x v="3"/>
  </r>
  <r>
    <d v="2025-10-24T11:59:16"/>
    <x v="77"/>
    <x v="0"/>
    <x v="0"/>
    <x v="0"/>
    <x v="1"/>
    <x v="0"/>
    <x v="2"/>
    <x v="1"/>
    <x v="4"/>
    <x v="1"/>
    <s v="En esta encuesta 😅"/>
    <x v="1"/>
    <x v="1"/>
    <x v="1"/>
    <n v="0"/>
    <x v="1"/>
    <x v="2"/>
    <x v="7"/>
    <x v="2"/>
    <x v="0"/>
    <x v="2"/>
    <x v="1"/>
    <x v="0"/>
    <x v="0"/>
    <x v="7"/>
    <x v="7"/>
    <x v="3"/>
  </r>
  <r>
    <d v="2025-10-24T12:01:06"/>
    <x v="78"/>
    <x v="0"/>
    <x v="0"/>
    <x v="0"/>
    <x v="1"/>
    <x v="0"/>
    <x v="2"/>
    <x v="0"/>
    <x v="4"/>
    <x v="1"/>
    <s v="En esta encuesta 😅"/>
    <x v="1"/>
    <x v="1"/>
    <x v="1"/>
    <n v="0"/>
    <x v="1"/>
    <x v="2"/>
    <x v="7"/>
    <x v="2"/>
    <x v="0"/>
    <x v="2"/>
    <x v="1"/>
    <x v="1"/>
    <x v="6"/>
    <x v="7"/>
    <x v="7"/>
    <x v="3"/>
  </r>
  <r>
    <d v="2025-10-24T12:13:26"/>
    <x v="79"/>
    <x v="0"/>
    <x v="0"/>
    <x v="0"/>
    <x v="1"/>
    <x v="0"/>
    <x v="2"/>
    <x v="1"/>
    <x v="1"/>
    <x v="1"/>
    <s v="En esta encuesta 😅"/>
    <x v="1"/>
    <x v="1"/>
    <x v="1"/>
    <n v="0"/>
    <x v="1"/>
    <x v="2"/>
    <x v="7"/>
    <x v="2"/>
    <x v="0"/>
    <x v="2"/>
    <x v="1"/>
    <x v="0"/>
    <x v="25"/>
    <x v="7"/>
    <x v="21"/>
    <x v="3"/>
  </r>
  <r>
    <d v="2025-10-24T12:21:38"/>
    <x v="80"/>
    <x v="0"/>
    <x v="0"/>
    <x v="0"/>
    <x v="1"/>
    <x v="0"/>
    <x v="2"/>
    <x v="0"/>
    <x v="1"/>
    <x v="0"/>
    <s v="En redes sociales"/>
    <x v="2"/>
    <x v="0"/>
    <x v="3"/>
    <n v="0"/>
    <x v="0"/>
    <x v="4"/>
    <x v="0"/>
    <x v="1"/>
    <x v="1"/>
    <x v="3"/>
    <x v="0"/>
    <x v="1"/>
    <x v="10"/>
    <x v="1"/>
    <x v="12"/>
    <x v="3"/>
  </r>
  <r>
    <d v="2025-10-24T12:23:18"/>
    <x v="81"/>
    <x v="0"/>
    <x v="0"/>
    <x v="0"/>
    <x v="1"/>
    <x v="0"/>
    <x v="2"/>
    <x v="1"/>
    <x v="4"/>
    <x v="1"/>
    <s v="En esta encuesta 😅"/>
    <x v="1"/>
    <x v="1"/>
    <x v="1"/>
    <n v="0"/>
    <x v="1"/>
    <x v="2"/>
    <x v="7"/>
    <x v="1"/>
    <x v="0"/>
    <x v="2"/>
    <x v="1"/>
    <x v="0"/>
    <x v="6"/>
    <x v="7"/>
    <x v="7"/>
    <x v="3"/>
  </r>
  <r>
    <d v="2025-10-24T13:25:58"/>
    <x v="82"/>
    <x v="0"/>
    <x v="0"/>
    <x v="0"/>
    <x v="1"/>
    <x v="0"/>
    <x v="2"/>
    <x v="0"/>
    <x v="4"/>
    <x v="1"/>
    <s v="En esta encuesta 😅"/>
    <x v="1"/>
    <x v="1"/>
    <x v="1"/>
    <n v="0"/>
    <x v="1"/>
    <x v="2"/>
    <x v="7"/>
    <x v="2"/>
    <x v="0"/>
    <x v="0"/>
    <x v="1"/>
    <x v="0"/>
    <x v="0"/>
    <x v="7"/>
    <x v="21"/>
    <x v="3"/>
  </r>
  <r>
    <d v="2025-10-24T13:26:42"/>
    <x v="83"/>
    <x v="0"/>
    <x v="0"/>
    <x v="0"/>
    <x v="1"/>
    <x v="0"/>
    <x v="2"/>
    <x v="1"/>
    <x v="4"/>
    <x v="1"/>
    <s v="En esta encuesta 😅"/>
    <x v="1"/>
    <x v="1"/>
    <x v="1"/>
    <n v="0"/>
    <x v="1"/>
    <x v="2"/>
    <x v="7"/>
    <x v="1"/>
    <x v="0"/>
    <x v="2"/>
    <x v="1"/>
    <x v="0"/>
    <x v="6"/>
    <x v="7"/>
    <x v="12"/>
    <x v="3"/>
  </r>
  <r>
    <d v="2025-10-24T13:47:28"/>
    <x v="84"/>
    <x v="0"/>
    <x v="0"/>
    <x v="0"/>
    <x v="1"/>
    <x v="0"/>
    <x v="2"/>
    <x v="0"/>
    <x v="4"/>
    <x v="1"/>
    <s v="En esta encuesta 😅"/>
    <x v="1"/>
    <x v="1"/>
    <x v="1"/>
    <n v="0"/>
    <x v="1"/>
    <x v="2"/>
    <x v="7"/>
    <x v="2"/>
    <x v="0"/>
    <x v="0"/>
    <x v="1"/>
    <x v="0"/>
    <x v="0"/>
    <x v="7"/>
    <x v="21"/>
    <x v="3"/>
  </r>
  <r>
    <d v="2025-10-24T14:17:02"/>
    <x v="85"/>
    <x v="0"/>
    <x v="0"/>
    <x v="0"/>
    <x v="1"/>
    <x v="1"/>
    <x v="2"/>
    <x v="0"/>
    <x v="3"/>
    <x v="0"/>
    <s v="En la universidad"/>
    <x v="0"/>
    <x v="3"/>
    <x v="6"/>
    <n v="1"/>
    <x v="2"/>
    <x v="0"/>
    <x v="5"/>
    <x v="0"/>
    <x v="1"/>
    <x v="1"/>
    <x v="2"/>
    <x v="3"/>
    <x v="6"/>
    <x v="33"/>
    <x v="12"/>
    <x v="3"/>
  </r>
  <r>
    <d v="2025-10-24T16:54:50"/>
    <x v="86"/>
    <x v="0"/>
    <x v="0"/>
    <x v="0"/>
    <x v="0"/>
    <x v="1"/>
    <x v="2"/>
    <x v="0"/>
    <x v="1"/>
    <x v="0"/>
    <s v="Por interés propio / autoaprendizaje"/>
    <x v="1"/>
    <x v="1"/>
    <x v="5"/>
    <n v="0"/>
    <x v="1"/>
    <x v="2"/>
    <x v="2"/>
    <x v="1"/>
    <x v="6"/>
    <x v="1"/>
    <x v="0"/>
    <x v="1"/>
    <x v="7"/>
    <x v="1"/>
    <x v="30"/>
    <x v="3"/>
  </r>
  <r>
    <d v="2025-10-24T17:00:29"/>
    <x v="87"/>
    <x v="0"/>
    <x v="0"/>
    <x v="0"/>
    <x v="1"/>
    <x v="0"/>
    <x v="2"/>
    <x v="1"/>
    <x v="4"/>
    <x v="1"/>
    <s v="En esta encuesta 😅"/>
    <x v="1"/>
    <x v="1"/>
    <x v="1"/>
    <n v="0"/>
    <x v="1"/>
    <x v="2"/>
    <x v="7"/>
    <x v="2"/>
    <x v="2"/>
    <x v="3"/>
    <x v="0"/>
    <x v="0"/>
    <x v="0"/>
    <x v="7"/>
    <x v="21"/>
    <x v="3"/>
  </r>
  <r>
    <d v="2025-10-24T17:13:57"/>
    <x v="88"/>
    <x v="0"/>
    <x v="0"/>
    <x v="0"/>
    <x v="0"/>
    <x v="1"/>
    <x v="2"/>
    <x v="0"/>
    <x v="2"/>
    <x v="0"/>
    <s v="En redes sociales"/>
    <x v="2"/>
    <x v="0"/>
    <x v="6"/>
    <n v="2"/>
    <x v="0"/>
    <x v="0"/>
    <x v="11"/>
    <x v="0"/>
    <x v="0"/>
    <x v="1"/>
    <x v="3"/>
    <x v="0"/>
    <x v="26"/>
    <x v="8"/>
    <x v="37"/>
    <x v="3"/>
  </r>
  <r>
    <d v="2025-10-24T18:03:12"/>
    <x v="89"/>
    <x v="0"/>
    <x v="0"/>
    <x v="0"/>
    <x v="3"/>
    <x v="1"/>
    <x v="2"/>
    <x v="0"/>
    <x v="2"/>
    <x v="0"/>
    <s v="En redes sociales"/>
    <x v="2"/>
    <x v="1"/>
    <x v="3"/>
    <n v="0"/>
    <x v="0"/>
    <x v="1"/>
    <x v="15"/>
    <x v="0"/>
    <x v="1"/>
    <x v="4"/>
    <x v="2"/>
    <x v="1"/>
    <x v="7"/>
    <x v="41"/>
    <x v="10"/>
    <x v="3"/>
  </r>
  <r>
    <d v="2025-10-24T18:11:52"/>
    <x v="90"/>
    <x v="0"/>
    <x v="0"/>
    <x v="0"/>
    <x v="1"/>
    <x v="0"/>
    <x v="2"/>
    <x v="0"/>
    <x v="1"/>
    <x v="0"/>
    <s v="En redes sociales"/>
    <x v="2"/>
    <x v="0"/>
    <x v="3"/>
    <n v="0"/>
    <x v="0"/>
    <x v="1"/>
    <x v="15"/>
    <x v="1"/>
    <x v="2"/>
    <x v="3"/>
    <x v="0"/>
    <x v="1"/>
    <x v="0"/>
    <x v="1"/>
    <x v="7"/>
    <x v="3"/>
  </r>
  <r>
    <d v="2025-10-24T18:51:28"/>
    <x v="91"/>
    <x v="0"/>
    <x v="0"/>
    <x v="0"/>
    <x v="3"/>
    <x v="1"/>
    <x v="2"/>
    <x v="0"/>
    <x v="2"/>
    <x v="1"/>
    <s v="En esta encuesta 😅"/>
    <x v="1"/>
    <x v="1"/>
    <x v="1"/>
    <n v="0"/>
    <x v="4"/>
    <x v="3"/>
    <x v="24"/>
    <x v="2"/>
    <x v="2"/>
    <x v="5"/>
    <x v="1"/>
    <x v="2"/>
    <x v="27"/>
    <x v="7"/>
    <x v="38"/>
    <x v="3"/>
  </r>
  <r>
    <d v="2025-10-24T19:07:55"/>
    <x v="92"/>
    <x v="0"/>
    <x v="0"/>
    <x v="0"/>
    <x v="3"/>
    <x v="0"/>
    <x v="2"/>
    <x v="0"/>
    <x v="3"/>
    <x v="0"/>
    <s v="En la universidad"/>
    <x v="4"/>
    <x v="3"/>
    <x v="25"/>
    <n v="3"/>
    <x v="1"/>
    <x v="2"/>
    <x v="25"/>
    <x v="1"/>
    <x v="5"/>
    <x v="1"/>
    <x v="2"/>
    <x v="0"/>
    <x v="7"/>
    <x v="7"/>
    <x v="39"/>
    <x v="3"/>
  </r>
  <r>
    <d v="2025-10-24T19:09:43"/>
    <x v="93"/>
    <x v="0"/>
    <x v="0"/>
    <x v="0"/>
    <x v="3"/>
    <x v="1"/>
    <x v="2"/>
    <x v="0"/>
    <x v="3"/>
    <x v="0"/>
    <s v="En la universidad"/>
    <x v="0"/>
    <x v="3"/>
    <x v="26"/>
    <n v="2"/>
    <x v="1"/>
    <x v="2"/>
    <x v="15"/>
    <x v="1"/>
    <x v="4"/>
    <x v="4"/>
    <x v="0"/>
    <x v="0"/>
    <x v="16"/>
    <x v="7"/>
    <x v="40"/>
    <x v="3"/>
  </r>
  <r>
    <d v="2025-10-24T19:58:52"/>
    <x v="94"/>
    <x v="0"/>
    <x v="0"/>
    <x v="0"/>
    <x v="3"/>
    <x v="1"/>
    <x v="2"/>
    <x v="0"/>
    <x v="2"/>
    <x v="0"/>
    <s v="En redes sociales"/>
    <x v="1"/>
    <x v="1"/>
    <x v="3"/>
    <n v="0"/>
    <x v="4"/>
    <x v="3"/>
    <x v="5"/>
    <x v="2"/>
    <x v="4"/>
    <x v="4"/>
    <x v="0"/>
    <x v="0"/>
    <x v="23"/>
    <x v="7"/>
    <x v="41"/>
    <x v="3"/>
  </r>
  <r>
    <d v="2025-10-24T20:48:33"/>
    <x v="95"/>
    <x v="0"/>
    <x v="0"/>
    <x v="0"/>
    <x v="3"/>
    <x v="0"/>
    <x v="2"/>
    <x v="0"/>
    <x v="2"/>
    <x v="1"/>
    <s v="En esta encuesta 😅"/>
    <x v="1"/>
    <x v="1"/>
    <x v="1"/>
    <n v="0"/>
    <x v="4"/>
    <x v="3"/>
    <x v="21"/>
    <x v="2"/>
    <x v="0"/>
    <x v="4"/>
    <x v="1"/>
    <x v="0"/>
    <x v="0"/>
    <x v="7"/>
    <x v="7"/>
    <x v="3"/>
  </r>
  <r>
    <d v="2025-10-24T21:04:16"/>
    <x v="96"/>
    <x v="0"/>
    <x v="0"/>
    <x v="0"/>
    <x v="0"/>
    <x v="0"/>
    <x v="2"/>
    <x v="0"/>
    <x v="2"/>
    <x v="0"/>
    <s v="En la universidad"/>
    <x v="2"/>
    <x v="3"/>
    <x v="24"/>
    <n v="1"/>
    <x v="1"/>
    <x v="0"/>
    <x v="13"/>
    <x v="1"/>
    <x v="5"/>
    <x v="1"/>
    <x v="1"/>
    <x v="1"/>
    <x v="7"/>
    <x v="33"/>
    <x v="34"/>
    <x v="3"/>
  </r>
  <r>
    <d v="2025-10-24T21:06:09"/>
    <x v="97"/>
    <x v="0"/>
    <x v="0"/>
    <x v="0"/>
    <x v="0"/>
    <x v="1"/>
    <x v="2"/>
    <x v="0"/>
    <x v="2"/>
    <x v="0"/>
    <s v="En redes sociales"/>
    <x v="1"/>
    <x v="4"/>
    <x v="17"/>
    <n v="1"/>
    <x v="2"/>
    <x v="0"/>
    <x v="8"/>
    <x v="0"/>
    <x v="6"/>
    <x v="1"/>
    <x v="2"/>
    <x v="1"/>
    <x v="10"/>
    <x v="40"/>
    <x v="20"/>
    <x v="3"/>
  </r>
  <r>
    <d v="2025-10-24T21:16:00"/>
    <x v="98"/>
    <x v="0"/>
    <x v="0"/>
    <x v="0"/>
    <x v="0"/>
    <x v="1"/>
    <x v="2"/>
    <x v="2"/>
    <x v="2"/>
    <x v="1"/>
    <s v="En esta encuesta 😅"/>
    <x v="1"/>
    <x v="1"/>
    <x v="1"/>
    <n v="0"/>
    <x v="2"/>
    <x v="0"/>
    <x v="26"/>
    <x v="3"/>
    <x v="2"/>
    <x v="1"/>
    <x v="1"/>
    <x v="3"/>
    <x v="7"/>
    <x v="0"/>
    <x v="42"/>
    <x v="3"/>
  </r>
  <r>
    <d v="2025-10-24T21:22:07"/>
    <x v="99"/>
    <x v="0"/>
    <x v="0"/>
    <x v="0"/>
    <x v="3"/>
    <x v="1"/>
    <x v="2"/>
    <x v="0"/>
    <x v="1"/>
    <x v="0"/>
    <s v="En otros medios de comunicación"/>
    <x v="2"/>
    <x v="0"/>
    <x v="3"/>
    <n v="1"/>
    <x v="4"/>
    <x v="3"/>
    <x v="1"/>
    <x v="2"/>
    <x v="0"/>
    <x v="3"/>
    <x v="2"/>
    <x v="0"/>
    <x v="28"/>
    <x v="7"/>
    <x v="20"/>
    <x v="3"/>
  </r>
  <r>
    <d v="2025-10-24T21:30:34"/>
    <x v="100"/>
    <x v="0"/>
    <x v="0"/>
    <x v="0"/>
    <x v="0"/>
    <x v="1"/>
    <x v="2"/>
    <x v="1"/>
    <x v="2"/>
    <x v="1"/>
    <s v="En esta encuesta 😅"/>
    <x v="1"/>
    <x v="1"/>
    <x v="1"/>
    <n v="0"/>
    <x v="4"/>
    <x v="3"/>
    <x v="20"/>
    <x v="2"/>
    <x v="0"/>
    <x v="8"/>
    <x v="1"/>
    <x v="2"/>
    <x v="21"/>
    <x v="7"/>
    <x v="29"/>
    <x v="3"/>
  </r>
  <r>
    <d v="2025-10-24T21:54:39"/>
    <x v="101"/>
    <x v="0"/>
    <x v="0"/>
    <x v="0"/>
    <x v="0"/>
    <x v="0"/>
    <x v="2"/>
    <x v="0"/>
    <x v="2"/>
    <x v="0"/>
    <s v="En redes sociales"/>
    <x v="1"/>
    <x v="1"/>
    <x v="16"/>
    <n v="0"/>
    <x v="1"/>
    <x v="2"/>
    <x v="10"/>
    <x v="1"/>
    <x v="2"/>
    <x v="1"/>
    <x v="1"/>
    <x v="1"/>
    <x v="28"/>
    <x v="7"/>
    <x v="33"/>
    <x v="3"/>
  </r>
  <r>
    <d v="2025-10-24T21:55:25"/>
    <x v="102"/>
    <x v="0"/>
    <x v="0"/>
    <x v="0"/>
    <x v="3"/>
    <x v="1"/>
    <x v="2"/>
    <x v="0"/>
    <x v="2"/>
    <x v="0"/>
    <s v="En la universidad"/>
    <x v="4"/>
    <x v="3"/>
    <x v="3"/>
    <n v="0"/>
    <x v="0"/>
    <x v="0"/>
    <x v="25"/>
    <x v="1"/>
    <x v="2"/>
    <x v="3"/>
    <x v="0"/>
    <x v="1"/>
    <x v="24"/>
    <x v="1"/>
    <x v="5"/>
    <x v="3"/>
  </r>
  <r>
    <d v="2025-10-24T22:02:41"/>
    <x v="103"/>
    <x v="0"/>
    <x v="0"/>
    <x v="0"/>
    <x v="0"/>
    <x v="0"/>
    <x v="2"/>
    <x v="0"/>
    <x v="2"/>
    <x v="0"/>
    <s v="En redes sociales"/>
    <x v="2"/>
    <x v="0"/>
    <x v="24"/>
    <n v="0"/>
    <x v="1"/>
    <x v="3"/>
    <x v="2"/>
    <x v="1"/>
    <x v="2"/>
    <x v="4"/>
    <x v="0"/>
    <x v="0"/>
    <x v="1"/>
    <x v="1"/>
    <x v="2"/>
    <x v="3"/>
  </r>
  <r>
    <d v="2025-10-24T22:11:58"/>
    <x v="104"/>
    <x v="0"/>
    <x v="0"/>
    <x v="0"/>
    <x v="0"/>
    <x v="1"/>
    <x v="2"/>
    <x v="1"/>
    <x v="2"/>
    <x v="0"/>
    <s v="En redes sociales"/>
    <x v="1"/>
    <x v="1"/>
    <x v="3"/>
    <n v="1"/>
    <x v="1"/>
    <x v="3"/>
    <x v="22"/>
    <x v="2"/>
    <x v="0"/>
    <x v="5"/>
    <x v="1"/>
    <x v="0"/>
    <x v="0"/>
    <x v="7"/>
    <x v="30"/>
    <x v="3"/>
  </r>
  <r>
    <d v="2025-10-24T22:25:22"/>
    <x v="105"/>
    <x v="0"/>
    <x v="0"/>
    <x v="0"/>
    <x v="0"/>
    <x v="0"/>
    <x v="2"/>
    <x v="0"/>
    <x v="2"/>
    <x v="0"/>
    <s v="En redes sociales"/>
    <x v="1"/>
    <x v="3"/>
    <x v="24"/>
    <n v="0"/>
    <x v="1"/>
    <x v="2"/>
    <x v="15"/>
    <x v="1"/>
    <x v="6"/>
    <x v="0"/>
    <x v="0"/>
    <x v="0"/>
    <x v="0"/>
    <x v="7"/>
    <x v="30"/>
    <x v="3"/>
  </r>
  <r>
    <d v="2025-10-24T22:27:03"/>
    <x v="106"/>
    <x v="0"/>
    <x v="0"/>
    <x v="0"/>
    <x v="0"/>
    <x v="1"/>
    <x v="2"/>
    <x v="1"/>
    <x v="2"/>
    <x v="0"/>
    <s v="En redes sociales"/>
    <x v="2"/>
    <x v="4"/>
    <x v="6"/>
    <n v="0"/>
    <x v="1"/>
    <x v="4"/>
    <x v="5"/>
    <x v="0"/>
    <x v="0"/>
    <x v="1"/>
    <x v="1"/>
    <x v="0"/>
    <x v="1"/>
    <x v="6"/>
    <x v="43"/>
    <x v="3"/>
  </r>
  <r>
    <d v="2025-10-24T22:29:34"/>
    <x v="107"/>
    <x v="0"/>
    <x v="0"/>
    <x v="0"/>
    <x v="0"/>
    <x v="1"/>
    <x v="2"/>
    <x v="0"/>
    <x v="0"/>
    <x v="0"/>
    <s v="En la universidad"/>
    <x v="1"/>
    <x v="0"/>
    <x v="3"/>
    <n v="1"/>
    <x v="2"/>
    <x v="3"/>
    <x v="0"/>
    <x v="1"/>
    <x v="1"/>
    <x v="1"/>
    <x v="1"/>
    <x v="1"/>
    <x v="29"/>
    <x v="1"/>
    <x v="32"/>
    <x v="3"/>
  </r>
  <r>
    <d v="2025-10-24T22:35:45"/>
    <x v="108"/>
    <x v="0"/>
    <x v="0"/>
    <x v="0"/>
    <x v="0"/>
    <x v="1"/>
    <x v="2"/>
    <x v="0"/>
    <x v="2"/>
    <x v="0"/>
    <s v="Por interés propio / autoaprendizaje"/>
    <x v="3"/>
    <x v="2"/>
    <x v="4"/>
    <n v="2"/>
    <x v="2"/>
    <x v="0"/>
    <x v="26"/>
    <x v="4"/>
    <x v="2"/>
    <x v="1"/>
    <x v="4"/>
    <x v="3"/>
    <x v="7"/>
    <x v="0"/>
    <x v="36"/>
    <x v="3"/>
  </r>
  <r>
    <d v="2025-10-24T22:49:17"/>
    <x v="109"/>
    <x v="0"/>
    <x v="0"/>
    <x v="0"/>
    <x v="0"/>
    <x v="0"/>
    <x v="2"/>
    <x v="0"/>
    <x v="5"/>
    <x v="0"/>
    <s v="Por interés propio / autoaprendizaje"/>
    <x v="0"/>
    <x v="4"/>
    <x v="27"/>
    <n v="1"/>
    <x v="1"/>
    <x v="0"/>
    <x v="14"/>
    <x v="1"/>
    <x v="1"/>
    <x v="1"/>
    <x v="1"/>
    <x v="0"/>
    <x v="30"/>
    <x v="8"/>
    <x v="22"/>
    <x v="3"/>
  </r>
  <r>
    <d v="2025-10-21T23:31:08"/>
    <x v="110"/>
    <x v="0"/>
    <x v="0"/>
    <x v="0"/>
    <x v="0"/>
    <x v="0"/>
    <x v="3"/>
    <x v="2"/>
    <x v="4"/>
    <x v="1"/>
    <s v="En esta encuesta 😅"/>
    <x v="1"/>
    <x v="1"/>
    <x v="1"/>
    <n v="0"/>
    <x v="1"/>
    <x v="2"/>
    <x v="7"/>
    <x v="2"/>
    <x v="5"/>
    <x v="6"/>
    <x v="1"/>
    <x v="0"/>
    <x v="1"/>
    <x v="1"/>
    <x v="44"/>
    <x v="0"/>
  </r>
  <r>
    <d v="2025-10-22T00:04:15"/>
    <x v="111"/>
    <x v="0"/>
    <x v="0"/>
    <x v="0"/>
    <x v="0"/>
    <x v="0"/>
    <x v="3"/>
    <x v="0"/>
    <x v="2"/>
    <x v="0"/>
    <s v="En redes sociales"/>
    <x v="1"/>
    <x v="3"/>
    <x v="3"/>
    <n v="0"/>
    <x v="2"/>
    <x v="1"/>
    <x v="15"/>
    <x v="1"/>
    <x v="4"/>
    <x v="3"/>
    <x v="1"/>
    <x v="3"/>
    <x v="31"/>
    <x v="30"/>
    <x v="13"/>
    <x v="1"/>
  </r>
  <r>
    <d v="2025-10-22T04:23:07"/>
    <x v="112"/>
    <x v="0"/>
    <x v="0"/>
    <x v="0"/>
    <x v="1"/>
    <x v="0"/>
    <x v="3"/>
    <x v="0"/>
    <x v="2"/>
    <x v="0"/>
    <s v="En la universidad"/>
    <x v="1"/>
    <x v="1"/>
    <x v="5"/>
    <n v="0"/>
    <x v="2"/>
    <x v="0"/>
    <x v="0"/>
    <x v="4"/>
    <x v="9"/>
    <x v="1"/>
    <x v="1"/>
    <x v="1"/>
    <x v="22"/>
    <x v="10"/>
    <x v="32"/>
    <x v="1"/>
  </r>
  <r>
    <d v="2025-10-22T09:16:44"/>
    <x v="113"/>
    <x v="0"/>
    <x v="0"/>
    <x v="0"/>
    <x v="1"/>
    <x v="0"/>
    <x v="3"/>
    <x v="0"/>
    <x v="1"/>
    <x v="0"/>
    <s v="En la universidad"/>
    <x v="1"/>
    <x v="1"/>
    <x v="24"/>
    <n v="0"/>
    <x v="1"/>
    <x v="1"/>
    <x v="15"/>
    <x v="1"/>
    <x v="1"/>
    <x v="1"/>
    <x v="1"/>
    <x v="1"/>
    <x v="22"/>
    <x v="33"/>
    <x v="22"/>
    <x v="1"/>
  </r>
  <r>
    <d v="2025-10-23T00:29:22"/>
    <x v="114"/>
    <x v="0"/>
    <x v="0"/>
    <x v="0"/>
    <x v="0"/>
    <x v="1"/>
    <x v="3"/>
    <x v="1"/>
    <x v="2"/>
    <x v="0"/>
    <s v="por mi papá"/>
    <x v="2"/>
    <x v="0"/>
    <x v="24"/>
    <n v="0"/>
    <x v="1"/>
    <x v="3"/>
    <x v="0"/>
    <x v="1"/>
    <x v="2"/>
    <x v="0"/>
    <x v="1"/>
    <x v="1"/>
    <x v="4"/>
    <x v="10"/>
    <x v="12"/>
    <x v="2"/>
  </r>
  <r>
    <d v="2025-10-23T09:46:37"/>
    <x v="115"/>
    <x v="0"/>
    <x v="0"/>
    <x v="0"/>
    <x v="2"/>
    <x v="1"/>
    <x v="3"/>
    <x v="0"/>
    <x v="4"/>
    <x v="0"/>
    <s v="Por interés propio / autoaprendizaje"/>
    <x v="2"/>
    <x v="1"/>
    <x v="28"/>
    <n v="1"/>
    <x v="2"/>
    <x v="0"/>
    <x v="15"/>
    <x v="1"/>
    <x v="2"/>
    <x v="1"/>
    <x v="0"/>
    <x v="1"/>
    <x v="25"/>
    <x v="42"/>
    <x v="45"/>
    <x v="2"/>
  </r>
  <r>
    <d v="2025-10-23T09:50:27"/>
    <x v="116"/>
    <x v="0"/>
    <x v="0"/>
    <x v="0"/>
    <x v="2"/>
    <x v="1"/>
    <x v="3"/>
    <x v="0"/>
    <x v="0"/>
    <x v="0"/>
    <s v="En esta encuesta 😅"/>
    <x v="1"/>
    <x v="1"/>
    <x v="1"/>
    <n v="0"/>
    <x v="3"/>
    <x v="2"/>
    <x v="9"/>
    <x v="2"/>
    <x v="2"/>
    <x v="6"/>
    <x v="1"/>
    <x v="2"/>
    <x v="8"/>
    <x v="43"/>
    <x v="4"/>
    <x v="2"/>
  </r>
  <r>
    <d v="2025-10-23T10:03:32"/>
    <x v="117"/>
    <x v="0"/>
    <x v="0"/>
    <x v="0"/>
    <x v="2"/>
    <x v="0"/>
    <x v="3"/>
    <x v="0"/>
    <x v="0"/>
    <x v="1"/>
    <s v="En esta encuesta 😅"/>
    <x v="1"/>
    <x v="1"/>
    <x v="1"/>
    <n v="0"/>
    <x v="1"/>
    <x v="2"/>
    <x v="14"/>
    <x v="1"/>
    <x v="2"/>
    <x v="7"/>
    <x v="1"/>
    <x v="2"/>
    <x v="2"/>
    <x v="44"/>
    <x v="46"/>
    <x v="2"/>
  </r>
  <r>
    <d v="2025-10-23T10:35:16"/>
    <x v="118"/>
    <x v="0"/>
    <x v="0"/>
    <x v="0"/>
    <x v="2"/>
    <x v="1"/>
    <x v="3"/>
    <x v="0"/>
    <x v="0"/>
    <x v="0"/>
    <s v="Por interés propio / autoaprendizaje"/>
    <x v="2"/>
    <x v="0"/>
    <x v="28"/>
    <n v="0"/>
    <x v="2"/>
    <x v="2"/>
    <x v="11"/>
    <x v="0"/>
    <x v="2"/>
    <x v="3"/>
    <x v="0"/>
    <x v="1"/>
    <x v="5"/>
    <x v="45"/>
    <x v="4"/>
    <x v="2"/>
  </r>
  <r>
    <d v="2025-10-23T10:43:03"/>
    <x v="119"/>
    <x v="0"/>
    <x v="0"/>
    <x v="0"/>
    <x v="2"/>
    <x v="1"/>
    <x v="3"/>
    <x v="0"/>
    <x v="5"/>
    <x v="0"/>
    <s v="En la universidad"/>
    <x v="2"/>
    <x v="0"/>
    <x v="9"/>
    <n v="0"/>
    <x v="2"/>
    <x v="2"/>
    <x v="13"/>
    <x v="0"/>
    <x v="2"/>
    <x v="2"/>
    <x v="0"/>
    <x v="1"/>
    <x v="11"/>
    <x v="44"/>
    <x v="47"/>
    <x v="2"/>
  </r>
  <r>
    <d v="2025-10-23T10:52:05"/>
    <x v="120"/>
    <x v="0"/>
    <x v="0"/>
    <x v="0"/>
    <x v="2"/>
    <x v="0"/>
    <x v="3"/>
    <x v="0"/>
    <x v="0"/>
    <x v="0"/>
    <s v="En redes sociales"/>
    <x v="0"/>
    <x v="3"/>
    <x v="29"/>
    <n v="2"/>
    <x v="2"/>
    <x v="2"/>
    <x v="14"/>
    <x v="3"/>
    <x v="1"/>
    <x v="4"/>
    <x v="2"/>
    <x v="0"/>
    <x v="8"/>
    <x v="46"/>
    <x v="2"/>
    <x v="2"/>
  </r>
  <r>
    <d v="2025-10-23T13:02:38"/>
    <x v="121"/>
    <x v="0"/>
    <x v="0"/>
    <x v="0"/>
    <x v="2"/>
    <x v="1"/>
    <x v="3"/>
    <x v="0"/>
    <x v="0"/>
    <x v="0"/>
    <s v="En otros medios de comunicación"/>
    <x v="0"/>
    <x v="3"/>
    <x v="14"/>
    <n v="0"/>
    <x v="2"/>
    <x v="2"/>
    <x v="7"/>
    <x v="3"/>
    <x v="2"/>
    <x v="3"/>
    <x v="0"/>
    <x v="3"/>
    <x v="29"/>
    <x v="17"/>
    <x v="1"/>
    <x v="2"/>
  </r>
  <r>
    <d v="2025-10-23T13:42:35"/>
    <x v="122"/>
    <x v="0"/>
    <x v="0"/>
    <x v="0"/>
    <x v="2"/>
    <x v="0"/>
    <x v="3"/>
    <x v="0"/>
    <x v="2"/>
    <x v="1"/>
    <s v="En esta encuesta 😅"/>
    <x v="1"/>
    <x v="1"/>
    <x v="1"/>
    <n v="0"/>
    <x v="1"/>
    <x v="4"/>
    <x v="27"/>
    <x v="3"/>
    <x v="2"/>
    <x v="4"/>
    <x v="2"/>
    <x v="3"/>
    <x v="13"/>
    <x v="35"/>
    <x v="32"/>
    <x v="2"/>
  </r>
  <r>
    <d v="2025-10-23T17:48:00"/>
    <x v="123"/>
    <x v="0"/>
    <x v="0"/>
    <x v="0"/>
    <x v="2"/>
    <x v="0"/>
    <x v="3"/>
    <x v="0"/>
    <x v="3"/>
    <x v="0"/>
    <s v="En cursos o conferencias"/>
    <x v="2"/>
    <x v="1"/>
    <x v="2"/>
    <n v="1"/>
    <x v="0"/>
    <x v="3"/>
    <x v="14"/>
    <x v="1"/>
    <x v="1"/>
    <x v="1"/>
    <x v="0"/>
    <x v="0"/>
    <x v="12"/>
    <x v="47"/>
    <x v="12"/>
    <x v="2"/>
  </r>
  <r>
    <d v="2025-10-23T18:03:03"/>
    <x v="124"/>
    <x v="0"/>
    <x v="0"/>
    <x v="0"/>
    <x v="0"/>
    <x v="1"/>
    <x v="3"/>
    <x v="0"/>
    <x v="2"/>
    <x v="0"/>
    <s v="En otros medios de comunicación"/>
    <x v="1"/>
    <x v="1"/>
    <x v="0"/>
    <n v="1"/>
    <x v="1"/>
    <x v="0"/>
    <x v="21"/>
    <x v="0"/>
    <x v="2"/>
    <x v="1"/>
    <x v="0"/>
    <x v="0"/>
    <x v="0"/>
    <x v="33"/>
    <x v="7"/>
    <x v="2"/>
  </r>
  <r>
    <d v="2025-10-23T19:27:33"/>
    <x v="125"/>
    <x v="0"/>
    <x v="0"/>
    <x v="0"/>
    <x v="2"/>
    <x v="1"/>
    <x v="3"/>
    <x v="0"/>
    <x v="2"/>
    <x v="0"/>
    <s v="En la universidad"/>
    <x v="1"/>
    <x v="1"/>
    <x v="3"/>
    <n v="0"/>
    <x v="0"/>
    <x v="3"/>
    <x v="14"/>
    <x v="0"/>
    <x v="0"/>
    <x v="1"/>
    <x v="1"/>
    <x v="3"/>
    <x v="12"/>
    <x v="48"/>
    <x v="18"/>
    <x v="2"/>
  </r>
  <r>
    <d v="2025-10-23T19:42:42"/>
    <x v="126"/>
    <x v="0"/>
    <x v="0"/>
    <x v="0"/>
    <x v="0"/>
    <x v="1"/>
    <x v="3"/>
    <x v="0"/>
    <x v="2"/>
    <x v="0"/>
    <s v="En redes sociales"/>
    <x v="1"/>
    <x v="1"/>
    <x v="30"/>
    <n v="0"/>
    <x v="3"/>
    <x v="2"/>
    <x v="21"/>
    <x v="2"/>
    <x v="1"/>
    <x v="0"/>
    <x v="0"/>
    <x v="0"/>
    <x v="0"/>
    <x v="7"/>
    <x v="11"/>
    <x v="2"/>
  </r>
  <r>
    <d v="2025-10-23T19:44:05"/>
    <x v="127"/>
    <x v="0"/>
    <x v="0"/>
    <x v="0"/>
    <x v="2"/>
    <x v="0"/>
    <x v="3"/>
    <x v="0"/>
    <x v="3"/>
    <x v="0"/>
    <s v="Por interés propio / autoaprendizaje"/>
    <x v="0"/>
    <x v="0"/>
    <x v="31"/>
    <n v="0"/>
    <x v="2"/>
    <x v="1"/>
    <x v="2"/>
    <x v="3"/>
    <x v="0"/>
    <x v="1"/>
    <x v="0"/>
    <x v="1"/>
    <x v="11"/>
    <x v="49"/>
    <x v="47"/>
    <x v="2"/>
  </r>
  <r>
    <d v="2025-10-24T09:34:22"/>
    <x v="128"/>
    <x v="0"/>
    <x v="0"/>
    <x v="0"/>
    <x v="1"/>
    <x v="1"/>
    <x v="3"/>
    <x v="0"/>
    <x v="2"/>
    <x v="0"/>
    <s v="Por interés propio / autoaprendizaje"/>
    <x v="2"/>
    <x v="0"/>
    <x v="32"/>
    <n v="0"/>
    <x v="2"/>
    <x v="4"/>
    <x v="1"/>
    <x v="4"/>
    <x v="7"/>
    <x v="1"/>
    <x v="1"/>
    <x v="1"/>
    <x v="22"/>
    <x v="30"/>
    <x v="22"/>
    <x v="3"/>
  </r>
  <r>
    <d v="2025-10-24T09:50:07"/>
    <x v="129"/>
    <x v="0"/>
    <x v="0"/>
    <x v="0"/>
    <x v="1"/>
    <x v="1"/>
    <x v="3"/>
    <x v="0"/>
    <x v="1"/>
    <x v="0"/>
    <s v="En redes sociales"/>
    <x v="2"/>
    <x v="0"/>
    <x v="5"/>
    <n v="0"/>
    <x v="0"/>
    <x v="1"/>
    <x v="0"/>
    <x v="1"/>
    <x v="1"/>
    <x v="4"/>
    <x v="1"/>
    <x v="1"/>
    <x v="6"/>
    <x v="1"/>
    <x v="0"/>
    <x v="3"/>
  </r>
  <r>
    <d v="2025-10-24T10:23:26"/>
    <x v="130"/>
    <x v="0"/>
    <x v="0"/>
    <x v="0"/>
    <x v="1"/>
    <x v="0"/>
    <x v="3"/>
    <x v="0"/>
    <x v="4"/>
    <x v="0"/>
    <s v="En otros medios de comunicación"/>
    <x v="1"/>
    <x v="1"/>
    <x v="1"/>
    <n v="0"/>
    <x v="1"/>
    <x v="2"/>
    <x v="7"/>
    <x v="1"/>
    <x v="1"/>
    <x v="3"/>
    <x v="0"/>
    <x v="1"/>
    <x v="8"/>
    <x v="1"/>
    <x v="36"/>
    <x v="3"/>
  </r>
  <r>
    <d v="2025-10-24T10:53:28"/>
    <x v="131"/>
    <x v="0"/>
    <x v="0"/>
    <x v="0"/>
    <x v="1"/>
    <x v="0"/>
    <x v="3"/>
    <x v="1"/>
    <x v="1"/>
    <x v="0"/>
    <s v="En redes sociales"/>
    <x v="2"/>
    <x v="0"/>
    <x v="3"/>
    <n v="0"/>
    <x v="0"/>
    <x v="1"/>
    <x v="0"/>
    <x v="1"/>
    <x v="1"/>
    <x v="3"/>
    <x v="2"/>
    <x v="1"/>
    <x v="0"/>
    <x v="1"/>
    <x v="15"/>
    <x v="3"/>
  </r>
  <r>
    <d v="2025-10-24T11:48:00"/>
    <x v="132"/>
    <x v="0"/>
    <x v="0"/>
    <x v="0"/>
    <x v="1"/>
    <x v="0"/>
    <x v="3"/>
    <x v="1"/>
    <x v="2"/>
    <x v="1"/>
    <s v="En esta encuesta 😅"/>
    <x v="1"/>
    <x v="1"/>
    <x v="1"/>
    <n v="0"/>
    <x v="1"/>
    <x v="2"/>
    <x v="7"/>
    <x v="2"/>
    <x v="2"/>
    <x v="0"/>
    <x v="0"/>
    <x v="0"/>
    <x v="10"/>
    <x v="7"/>
    <x v="22"/>
    <x v="3"/>
  </r>
  <r>
    <d v="2025-10-24T11:50:41"/>
    <x v="133"/>
    <x v="0"/>
    <x v="0"/>
    <x v="0"/>
    <x v="1"/>
    <x v="1"/>
    <x v="3"/>
    <x v="0"/>
    <x v="1"/>
    <x v="1"/>
    <s v="En esta encuesta 😅"/>
    <x v="1"/>
    <x v="1"/>
    <x v="1"/>
    <n v="0"/>
    <x v="1"/>
    <x v="2"/>
    <x v="7"/>
    <x v="2"/>
    <x v="0"/>
    <x v="0"/>
    <x v="0"/>
    <x v="0"/>
    <x v="10"/>
    <x v="7"/>
    <x v="21"/>
    <x v="3"/>
  </r>
  <r>
    <d v="2025-10-24T12:04:58"/>
    <x v="134"/>
    <x v="0"/>
    <x v="0"/>
    <x v="0"/>
    <x v="1"/>
    <x v="1"/>
    <x v="3"/>
    <x v="0"/>
    <x v="1"/>
    <x v="0"/>
    <s v="En redes sociales"/>
    <x v="2"/>
    <x v="0"/>
    <x v="5"/>
    <n v="0"/>
    <x v="0"/>
    <x v="1"/>
    <x v="1"/>
    <x v="1"/>
    <x v="1"/>
    <x v="3"/>
    <x v="0"/>
    <x v="1"/>
    <x v="13"/>
    <x v="1"/>
    <x v="12"/>
    <x v="3"/>
  </r>
  <r>
    <d v="2025-10-24T13:07:55"/>
    <x v="135"/>
    <x v="0"/>
    <x v="0"/>
    <x v="0"/>
    <x v="1"/>
    <x v="0"/>
    <x v="3"/>
    <x v="0"/>
    <x v="1"/>
    <x v="0"/>
    <s v="En redes sociales"/>
    <x v="2"/>
    <x v="0"/>
    <x v="3"/>
    <n v="0"/>
    <x v="0"/>
    <x v="1"/>
    <x v="0"/>
    <x v="1"/>
    <x v="2"/>
    <x v="3"/>
    <x v="0"/>
    <x v="1"/>
    <x v="10"/>
    <x v="6"/>
    <x v="13"/>
    <x v="3"/>
  </r>
  <r>
    <d v="2025-10-24T13:32:42"/>
    <x v="136"/>
    <x v="0"/>
    <x v="0"/>
    <x v="0"/>
    <x v="1"/>
    <x v="0"/>
    <x v="3"/>
    <x v="0"/>
    <x v="1"/>
    <x v="0"/>
    <s v="En redes sociales"/>
    <x v="2"/>
    <x v="0"/>
    <x v="5"/>
    <n v="0"/>
    <x v="0"/>
    <x v="1"/>
    <x v="0"/>
    <x v="1"/>
    <x v="2"/>
    <x v="3"/>
    <x v="0"/>
    <x v="1"/>
    <x v="0"/>
    <x v="1"/>
    <x v="7"/>
    <x v="3"/>
  </r>
  <r>
    <d v="2025-10-24T13:36:59"/>
    <x v="137"/>
    <x v="0"/>
    <x v="0"/>
    <x v="0"/>
    <x v="1"/>
    <x v="1"/>
    <x v="3"/>
    <x v="1"/>
    <x v="1"/>
    <x v="0"/>
    <s v="En redes sociales"/>
    <x v="2"/>
    <x v="0"/>
    <x v="3"/>
    <n v="0"/>
    <x v="0"/>
    <x v="1"/>
    <x v="0"/>
    <x v="1"/>
    <x v="2"/>
    <x v="3"/>
    <x v="0"/>
    <x v="1"/>
    <x v="6"/>
    <x v="6"/>
    <x v="7"/>
    <x v="3"/>
  </r>
  <r>
    <d v="2025-10-24T14:05:09"/>
    <x v="138"/>
    <x v="0"/>
    <x v="0"/>
    <x v="0"/>
    <x v="1"/>
    <x v="0"/>
    <x v="3"/>
    <x v="1"/>
    <x v="1"/>
    <x v="0"/>
    <s v="En redes sociales"/>
    <x v="2"/>
    <x v="0"/>
    <x v="3"/>
    <n v="0"/>
    <x v="0"/>
    <x v="1"/>
    <x v="0"/>
    <x v="1"/>
    <x v="1"/>
    <x v="3"/>
    <x v="0"/>
    <x v="1"/>
    <x v="0"/>
    <x v="1"/>
    <x v="15"/>
    <x v="3"/>
  </r>
  <r>
    <d v="2025-10-24T16:39:05"/>
    <x v="139"/>
    <x v="0"/>
    <x v="0"/>
    <x v="0"/>
    <x v="1"/>
    <x v="1"/>
    <x v="3"/>
    <x v="0"/>
    <x v="1"/>
    <x v="0"/>
    <s v="En la universidad"/>
    <x v="0"/>
    <x v="0"/>
    <x v="24"/>
    <n v="1"/>
    <x v="0"/>
    <x v="4"/>
    <x v="1"/>
    <x v="1"/>
    <x v="1"/>
    <x v="3"/>
    <x v="0"/>
    <x v="1"/>
    <x v="2"/>
    <x v="1"/>
    <x v="20"/>
    <x v="3"/>
  </r>
  <r>
    <d v="2025-10-24T17:31:59"/>
    <x v="140"/>
    <x v="0"/>
    <x v="0"/>
    <x v="0"/>
    <x v="1"/>
    <x v="0"/>
    <x v="3"/>
    <x v="0"/>
    <x v="1"/>
    <x v="0"/>
    <s v="En redes sociales"/>
    <x v="2"/>
    <x v="0"/>
    <x v="24"/>
    <n v="0"/>
    <x v="0"/>
    <x v="1"/>
    <x v="2"/>
    <x v="1"/>
    <x v="2"/>
    <x v="3"/>
    <x v="2"/>
    <x v="1"/>
    <x v="6"/>
    <x v="1"/>
    <x v="15"/>
    <x v="3"/>
  </r>
  <r>
    <d v="2025-10-24T17:55:35"/>
    <x v="141"/>
    <x v="0"/>
    <x v="0"/>
    <x v="0"/>
    <x v="3"/>
    <x v="0"/>
    <x v="3"/>
    <x v="0"/>
    <x v="3"/>
    <x v="1"/>
    <s v="En esta encuesta 😅"/>
    <x v="1"/>
    <x v="1"/>
    <x v="1"/>
    <n v="0"/>
    <x v="1"/>
    <x v="2"/>
    <x v="28"/>
    <x v="2"/>
    <x v="4"/>
    <x v="1"/>
    <x v="0"/>
    <x v="0"/>
    <x v="22"/>
    <x v="7"/>
    <x v="7"/>
    <x v="3"/>
  </r>
  <r>
    <d v="2025-10-24T18:04:22"/>
    <x v="142"/>
    <x v="0"/>
    <x v="0"/>
    <x v="0"/>
    <x v="1"/>
    <x v="0"/>
    <x v="3"/>
    <x v="1"/>
    <x v="4"/>
    <x v="1"/>
    <s v="En esta encuesta 😅"/>
    <x v="1"/>
    <x v="1"/>
    <x v="1"/>
    <n v="0"/>
    <x v="1"/>
    <x v="2"/>
    <x v="7"/>
    <x v="2"/>
    <x v="0"/>
    <x v="2"/>
    <x v="1"/>
    <x v="0"/>
    <x v="0"/>
    <x v="7"/>
    <x v="48"/>
    <x v="3"/>
  </r>
  <r>
    <d v="2025-10-24T18:22:12"/>
    <x v="143"/>
    <x v="0"/>
    <x v="0"/>
    <x v="0"/>
    <x v="3"/>
    <x v="1"/>
    <x v="3"/>
    <x v="0"/>
    <x v="2"/>
    <x v="0"/>
    <s v="En redes sociales"/>
    <x v="0"/>
    <x v="4"/>
    <x v="6"/>
    <n v="1"/>
    <x v="1"/>
    <x v="1"/>
    <x v="15"/>
    <x v="1"/>
    <x v="4"/>
    <x v="3"/>
    <x v="2"/>
    <x v="1"/>
    <x v="23"/>
    <x v="50"/>
    <x v="39"/>
    <x v="3"/>
  </r>
  <r>
    <d v="2025-10-24T18:24:11"/>
    <x v="144"/>
    <x v="0"/>
    <x v="0"/>
    <x v="0"/>
    <x v="3"/>
    <x v="1"/>
    <x v="3"/>
    <x v="0"/>
    <x v="2"/>
    <x v="0"/>
    <s v="En redes sociales"/>
    <x v="0"/>
    <x v="0"/>
    <x v="33"/>
    <n v="0"/>
    <x v="3"/>
    <x v="2"/>
    <x v="22"/>
    <x v="1"/>
    <x v="1"/>
    <x v="0"/>
    <x v="3"/>
    <x v="3"/>
    <x v="25"/>
    <x v="7"/>
    <x v="5"/>
    <x v="3"/>
  </r>
  <r>
    <d v="2025-10-24T18:26:18"/>
    <x v="145"/>
    <x v="0"/>
    <x v="0"/>
    <x v="0"/>
    <x v="3"/>
    <x v="0"/>
    <x v="3"/>
    <x v="0"/>
    <x v="2"/>
    <x v="0"/>
    <s v="En redes sociales"/>
    <x v="0"/>
    <x v="3"/>
    <x v="23"/>
    <n v="2"/>
    <x v="0"/>
    <x v="0"/>
    <x v="25"/>
    <x v="0"/>
    <x v="4"/>
    <x v="0"/>
    <x v="3"/>
    <x v="1"/>
    <x v="23"/>
    <x v="7"/>
    <x v="18"/>
    <x v="3"/>
  </r>
  <r>
    <d v="2025-10-24T18:46:30"/>
    <x v="146"/>
    <x v="0"/>
    <x v="0"/>
    <x v="0"/>
    <x v="3"/>
    <x v="0"/>
    <x v="3"/>
    <x v="1"/>
    <x v="2"/>
    <x v="0"/>
    <s v="En redes sociales"/>
    <x v="0"/>
    <x v="0"/>
    <x v="24"/>
    <n v="0"/>
    <x v="1"/>
    <x v="2"/>
    <x v="15"/>
    <x v="1"/>
    <x v="1"/>
    <x v="4"/>
    <x v="0"/>
    <x v="0"/>
    <x v="28"/>
    <x v="30"/>
    <x v="28"/>
    <x v="3"/>
  </r>
  <r>
    <d v="2025-10-24T18:59:38"/>
    <x v="147"/>
    <x v="0"/>
    <x v="0"/>
    <x v="0"/>
    <x v="3"/>
    <x v="1"/>
    <x v="3"/>
    <x v="0"/>
    <x v="1"/>
    <x v="1"/>
    <s v="En esta encuesta 😅"/>
    <x v="1"/>
    <x v="1"/>
    <x v="1"/>
    <n v="0"/>
    <x v="4"/>
    <x v="3"/>
    <x v="0"/>
    <x v="2"/>
    <x v="0"/>
    <x v="4"/>
    <x v="1"/>
    <x v="0"/>
    <x v="6"/>
    <x v="7"/>
    <x v="7"/>
    <x v="3"/>
  </r>
  <r>
    <d v="2025-10-24T19:10:56"/>
    <x v="148"/>
    <x v="0"/>
    <x v="0"/>
    <x v="0"/>
    <x v="0"/>
    <x v="1"/>
    <x v="3"/>
    <x v="3"/>
    <x v="1"/>
    <x v="0"/>
    <s v="Por interés propio / autoaprendizaje"/>
    <x v="2"/>
    <x v="0"/>
    <x v="32"/>
    <n v="0"/>
    <x v="0"/>
    <x v="4"/>
    <x v="15"/>
    <x v="0"/>
    <x v="1"/>
    <x v="0"/>
    <x v="1"/>
    <x v="1"/>
    <x v="7"/>
    <x v="7"/>
    <x v="41"/>
    <x v="3"/>
  </r>
  <r>
    <d v="2025-10-24T19:15:12"/>
    <x v="149"/>
    <x v="0"/>
    <x v="0"/>
    <x v="0"/>
    <x v="3"/>
    <x v="0"/>
    <x v="3"/>
    <x v="0"/>
    <x v="2"/>
    <x v="1"/>
    <s v="En esta encuesta 😅"/>
    <x v="1"/>
    <x v="1"/>
    <x v="1"/>
    <n v="0"/>
    <x v="4"/>
    <x v="3"/>
    <x v="5"/>
    <x v="2"/>
    <x v="0"/>
    <x v="6"/>
    <x v="1"/>
    <x v="2"/>
    <x v="18"/>
    <x v="7"/>
    <x v="15"/>
    <x v="3"/>
  </r>
  <r>
    <d v="2025-10-24T19:19:27"/>
    <x v="150"/>
    <x v="0"/>
    <x v="0"/>
    <x v="0"/>
    <x v="3"/>
    <x v="1"/>
    <x v="3"/>
    <x v="0"/>
    <x v="1"/>
    <x v="1"/>
    <s v="En esta encuesta 😅"/>
    <x v="1"/>
    <x v="1"/>
    <x v="1"/>
    <n v="0"/>
    <x v="4"/>
    <x v="3"/>
    <x v="1"/>
    <x v="2"/>
    <x v="0"/>
    <x v="6"/>
    <x v="1"/>
    <x v="2"/>
    <x v="6"/>
    <x v="7"/>
    <x v="21"/>
    <x v="3"/>
  </r>
  <r>
    <d v="2025-10-24T19:51:43"/>
    <x v="151"/>
    <x v="0"/>
    <x v="0"/>
    <x v="0"/>
    <x v="3"/>
    <x v="1"/>
    <x v="3"/>
    <x v="0"/>
    <x v="2"/>
    <x v="0"/>
    <s v="En redes sociales"/>
    <x v="0"/>
    <x v="0"/>
    <x v="24"/>
    <n v="0"/>
    <x v="4"/>
    <x v="2"/>
    <x v="21"/>
    <x v="1"/>
    <x v="6"/>
    <x v="0"/>
    <x v="0"/>
    <x v="1"/>
    <x v="32"/>
    <x v="7"/>
    <x v="16"/>
    <x v="3"/>
  </r>
  <r>
    <d v="2025-10-24T19:56:48"/>
    <x v="152"/>
    <x v="0"/>
    <x v="0"/>
    <x v="0"/>
    <x v="3"/>
    <x v="1"/>
    <x v="3"/>
    <x v="0"/>
    <x v="2"/>
    <x v="0"/>
    <s v="En redes sociales"/>
    <x v="1"/>
    <x v="0"/>
    <x v="24"/>
    <n v="0"/>
    <x v="3"/>
    <x v="2"/>
    <x v="1"/>
    <x v="2"/>
    <x v="6"/>
    <x v="1"/>
    <x v="2"/>
    <x v="3"/>
    <x v="7"/>
    <x v="7"/>
    <x v="39"/>
    <x v="3"/>
  </r>
  <r>
    <d v="2025-10-24T20:07:00"/>
    <x v="153"/>
    <x v="0"/>
    <x v="0"/>
    <x v="0"/>
    <x v="3"/>
    <x v="0"/>
    <x v="3"/>
    <x v="0"/>
    <x v="2"/>
    <x v="0"/>
    <s v="En redes sociales"/>
    <x v="2"/>
    <x v="1"/>
    <x v="24"/>
    <n v="0"/>
    <x v="1"/>
    <x v="2"/>
    <x v="2"/>
    <x v="1"/>
    <x v="6"/>
    <x v="4"/>
    <x v="1"/>
    <x v="0"/>
    <x v="11"/>
    <x v="7"/>
    <x v="26"/>
    <x v="3"/>
  </r>
  <r>
    <d v="2025-10-24T20:11:55"/>
    <x v="154"/>
    <x v="0"/>
    <x v="0"/>
    <x v="0"/>
    <x v="3"/>
    <x v="1"/>
    <x v="3"/>
    <x v="0"/>
    <x v="5"/>
    <x v="1"/>
    <s v="En esta encuesta 😅"/>
    <x v="1"/>
    <x v="1"/>
    <x v="1"/>
    <n v="0"/>
    <x v="3"/>
    <x v="2"/>
    <x v="1"/>
    <x v="2"/>
    <x v="6"/>
    <x v="0"/>
    <x v="1"/>
    <x v="0"/>
    <x v="2"/>
    <x v="7"/>
    <x v="49"/>
    <x v="3"/>
  </r>
  <r>
    <d v="2025-10-24T21:07:57"/>
    <x v="155"/>
    <x v="0"/>
    <x v="0"/>
    <x v="0"/>
    <x v="3"/>
    <x v="3"/>
    <x v="3"/>
    <x v="0"/>
    <x v="2"/>
    <x v="1"/>
    <s v="En esta encuesta 😅"/>
    <x v="1"/>
    <x v="1"/>
    <x v="1"/>
    <n v="0"/>
    <x v="4"/>
    <x v="3"/>
    <x v="0"/>
    <x v="2"/>
    <x v="6"/>
    <x v="5"/>
    <x v="1"/>
    <x v="2"/>
    <x v="6"/>
    <x v="7"/>
    <x v="21"/>
    <x v="3"/>
  </r>
  <r>
    <d v="2025-10-24T21:11:25"/>
    <x v="156"/>
    <x v="0"/>
    <x v="0"/>
    <x v="0"/>
    <x v="0"/>
    <x v="0"/>
    <x v="3"/>
    <x v="1"/>
    <x v="2"/>
    <x v="1"/>
    <s v="En esta encuesta 😅"/>
    <x v="1"/>
    <x v="1"/>
    <x v="1"/>
    <n v="0"/>
    <x v="2"/>
    <x v="0"/>
    <x v="15"/>
    <x v="1"/>
    <x v="3"/>
    <x v="5"/>
    <x v="1"/>
    <x v="0"/>
    <x v="0"/>
    <x v="30"/>
    <x v="33"/>
    <x v="3"/>
  </r>
  <r>
    <d v="2025-10-24T21:24:55"/>
    <x v="157"/>
    <x v="0"/>
    <x v="0"/>
    <x v="0"/>
    <x v="3"/>
    <x v="1"/>
    <x v="3"/>
    <x v="1"/>
    <x v="0"/>
    <x v="0"/>
    <s v="Por interés propio / autoaprendizaje"/>
    <x v="0"/>
    <x v="3"/>
    <x v="17"/>
    <n v="1"/>
    <x v="1"/>
    <x v="1"/>
    <x v="15"/>
    <x v="1"/>
    <x v="4"/>
    <x v="0"/>
    <x v="2"/>
    <x v="1"/>
    <x v="11"/>
    <x v="7"/>
    <x v="18"/>
    <x v="3"/>
  </r>
  <r>
    <d v="2025-10-24T21:42:38"/>
    <x v="158"/>
    <x v="0"/>
    <x v="0"/>
    <x v="0"/>
    <x v="0"/>
    <x v="1"/>
    <x v="3"/>
    <x v="1"/>
    <x v="2"/>
    <x v="0"/>
    <s v="en casa de mi tío"/>
    <x v="1"/>
    <x v="1"/>
    <x v="6"/>
    <n v="0"/>
    <x v="2"/>
    <x v="3"/>
    <x v="15"/>
    <x v="1"/>
    <x v="0"/>
    <x v="1"/>
    <x v="1"/>
    <x v="0"/>
    <x v="29"/>
    <x v="42"/>
    <x v="32"/>
    <x v="3"/>
  </r>
  <r>
    <d v="2025-10-24T22:01:07"/>
    <x v="159"/>
    <x v="0"/>
    <x v="0"/>
    <x v="0"/>
    <x v="0"/>
    <x v="0"/>
    <x v="3"/>
    <x v="2"/>
    <x v="2"/>
    <x v="0"/>
    <s v="Por interés propio / autoaprendizaje"/>
    <x v="3"/>
    <x v="2"/>
    <x v="34"/>
    <n v="3"/>
    <x v="2"/>
    <x v="0"/>
    <x v="6"/>
    <x v="4"/>
    <x v="5"/>
    <x v="1"/>
    <x v="3"/>
    <x v="1"/>
    <x v="33"/>
    <x v="38"/>
    <x v="27"/>
    <x v="3"/>
  </r>
  <r>
    <d v="2025-10-24T22:05:29"/>
    <x v="160"/>
    <x v="0"/>
    <x v="0"/>
    <x v="0"/>
    <x v="0"/>
    <x v="0"/>
    <x v="3"/>
    <x v="0"/>
    <x v="2"/>
    <x v="0"/>
    <s v="En otros medios de comunicación"/>
    <x v="1"/>
    <x v="1"/>
    <x v="23"/>
    <n v="1"/>
    <x v="1"/>
    <x v="4"/>
    <x v="14"/>
    <x v="0"/>
    <x v="4"/>
    <x v="3"/>
    <x v="1"/>
    <x v="0"/>
    <x v="30"/>
    <x v="51"/>
    <x v="19"/>
    <x v="3"/>
  </r>
  <r>
    <d v="2025-10-24T22:32:00"/>
    <x v="161"/>
    <x v="0"/>
    <x v="0"/>
    <x v="0"/>
    <x v="3"/>
    <x v="0"/>
    <x v="3"/>
    <x v="0"/>
    <x v="1"/>
    <x v="1"/>
    <s v="En esta encuesta 😅"/>
    <x v="1"/>
    <x v="1"/>
    <x v="1"/>
    <n v="0"/>
    <x v="4"/>
    <x v="3"/>
    <x v="2"/>
    <x v="1"/>
    <x v="10"/>
    <x v="0"/>
    <x v="2"/>
    <x v="1"/>
    <x v="11"/>
    <x v="7"/>
    <x v="40"/>
    <x v="3"/>
  </r>
  <r>
    <d v="2025-10-24T22:39:11"/>
    <x v="162"/>
    <x v="0"/>
    <x v="0"/>
    <x v="0"/>
    <x v="0"/>
    <x v="0"/>
    <x v="3"/>
    <x v="0"/>
    <x v="2"/>
    <x v="0"/>
    <s v="En redes sociales"/>
    <x v="1"/>
    <x v="0"/>
    <x v="35"/>
    <n v="3"/>
    <x v="2"/>
    <x v="0"/>
    <x v="1"/>
    <x v="4"/>
    <x v="5"/>
    <x v="1"/>
    <x v="2"/>
    <x v="1"/>
    <x v="7"/>
    <x v="33"/>
    <x v="32"/>
    <x v="3"/>
  </r>
  <r>
    <d v="2025-10-24T22:47:16"/>
    <x v="163"/>
    <x v="0"/>
    <x v="0"/>
    <x v="0"/>
    <x v="0"/>
    <x v="0"/>
    <x v="3"/>
    <x v="1"/>
    <x v="3"/>
    <x v="0"/>
    <s v="En cursos o conferencias"/>
    <x v="2"/>
    <x v="3"/>
    <x v="36"/>
    <n v="3"/>
    <x v="2"/>
    <x v="1"/>
    <x v="1"/>
    <x v="3"/>
    <x v="4"/>
    <x v="3"/>
    <x v="0"/>
    <x v="0"/>
    <x v="0"/>
    <x v="1"/>
    <x v="35"/>
    <x v="3"/>
  </r>
  <r>
    <d v="2025-10-19T21:48:26"/>
    <x v="164"/>
    <x v="0"/>
    <x v="0"/>
    <x v="0"/>
    <x v="3"/>
    <x v="1"/>
    <x v="4"/>
    <x v="2"/>
    <x v="3"/>
    <x v="0"/>
    <s v="En la universidad"/>
    <x v="1"/>
    <x v="1"/>
    <x v="1"/>
    <n v="0"/>
    <x v="1"/>
    <x v="2"/>
    <x v="0"/>
    <x v="2"/>
    <x v="4"/>
    <x v="1"/>
    <x v="0"/>
    <x v="3"/>
    <x v="16"/>
    <x v="40"/>
    <x v="30"/>
    <x v="4"/>
  </r>
  <r>
    <d v="2025-10-21T23:35:15"/>
    <x v="165"/>
    <x v="0"/>
    <x v="0"/>
    <x v="0"/>
    <x v="0"/>
    <x v="1"/>
    <x v="4"/>
    <x v="1"/>
    <x v="1"/>
    <x v="0"/>
    <s v="En otros medios de comunicación"/>
    <x v="0"/>
    <x v="4"/>
    <x v="5"/>
    <n v="1"/>
    <x v="2"/>
    <x v="1"/>
    <x v="22"/>
    <x v="0"/>
    <x v="4"/>
    <x v="4"/>
    <x v="0"/>
    <x v="3"/>
    <x v="26"/>
    <x v="52"/>
    <x v="22"/>
    <x v="0"/>
  </r>
  <r>
    <d v="2025-10-22T07:17:21"/>
    <x v="166"/>
    <x v="0"/>
    <x v="0"/>
    <x v="0"/>
    <x v="2"/>
    <x v="0"/>
    <x v="4"/>
    <x v="0"/>
    <x v="1"/>
    <x v="0"/>
    <s v="En redes sociales"/>
    <x v="2"/>
    <x v="1"/>
    <x v="24"/>
    <n v="0"/>
    <x v="2"/>
    <x v="0"/>
    <x v="2"/>
    <x v="0"/>
    <x v="4"/>
    <x v="1"/>
    <x v="2"/>
    <x v="0"/>
    <x v="11"/>
    <x v="53"/>
    <x v="39"/>
    <x v="1"/>
  </r>
  <r>
    <d v="2025-10-22T09:11:48"/>
    <x v="167"/>
    <x v="0"/>
    <x v="0"/>
    <x v="0"/>
    <x v="1"/>
    <x v="1"/>
    <x v="4"/>
    <x v="1"/>
    <x v="2"/>
    <x v="0"/>
    <s v="En la universidad"/>
    <x v="2"/>
    <x v="0"/>
    <x v="4"/>
    <n v="0"/>
    <x v="2"/>
    <x v="0"/>
    <x v="15"/>
    <x v="4"/>
    <x v="9"/>
    <x v="1"/>
    <x v="1"/>
    <x v="1"/>
    <x v="34"/>
    <x v="40"/>
    <x v="44"/>
    <x v="1"/>
  </r>
  <r>
    <d v="2025-10-22T09:18:58"/>
    <x v="168"/>
    <x v="0"/>
    <x v="0"/>
    <x v="0"/>
    <x v="1"/>
    <x v="0"/>
    <x v="4"/>
    <x v="0"/>
    <x v="1"/>
    <x v="0"/>
    <s v="Por interés propio / autoaprendizaje"/>
    <x v="2"/>
    <x v="0"/>
    <x v="32"/>
    <n v="2"/>
    <x v="2"/>
    <x v="0"/>
    <x v="1"/>
    <x v="4"/>
    <x v="9"/>
    <x v="1"/>
    <x v="1"/>
    <x v="3"/>
    <x v="25"/>
    <x v="40"/>
    <x v="10"/>
    <x v="1"/>
  </r>
  <r>
    <d v="2025-10-22T21:31:14"/>
    <x v="169"/>
    <x v="0"/>
    <x v="0"/>
    <x v="0"/>
    <x v="2"/>
    <x v="1"/>
    <x v="4"/>
    <x v="0"/>
    <x v="5"/>
    <x v="0"/>
    <s v="En redes sociales"/>
    <x v="1"/>
    <x v="1"/>
    <x v="3"/>
    <n v="0"/>
    <x v="1"/>
    <x v="3"/>
    <x v="7"/>
    <x v="1"/>
    <x v="0"/>
    <x v="1"/>
    <x v="1"/>
    <x v="2"/>
    <x v="19"/>
    <x v="54"/>
    <x v="21"/>
    <x v="1"/>
  </r>
  <r>
    <d v="2025-10-22T22:25:30"/>
    <x v="170"/>
    <x v="0"/>
    <x v="0"/>
    <x v="0"/>
    <x v="2"/>
    <x v="0"/>
    <x v="4"/>
    <x v="0"/>
    <x v="4"/>
    <x v="0"/>
    <s v="En redes sociales"/>
    <x v="2"/>
    <x v="0"/>
    <x v="37"/>
    <n v="0"/>
    <x v="1"/>
    <x v="3"/>
    <x v="7"/>
    <x v="2"/>
    <x v="2"/>
    <x v="0"/>
    <x v="2"/>
    <x v="1"/>
    <x v="8"/>
    <x v="24"/>
    <x v="12"/>
    <x v="1"/>
  </r>
  <r>
    <d v="2025-10-23T09:02:05"/>
    <x v="171"/>
    <x v="0"/>
    <x v="0"/>
    <x v="0"/>
    <x v="2"/>
    <x v="0"/>
    <x v="4"/>
    <x v="0"/>
    <x v="4"/>
    <x v="0"/>
    <s v="En esta encuesta 😅"/>
    <x v="1"/>
    <x v="0"/>
    <x v="28"/>
    <n v="0"/>
    <x v="2"/>
    <x v="1"/>
    <x v="2"/>
    <x v="1"/>
    <x v="4"/>
    <x v="1"/>
    <x v="0"/>
    <x v="0"/>
    <x v="25"/>
    <x v="55"/>
    <x v="12"/>
    <x v="2"/>
  </r>
  <r>
    <d v="2025-10-23T09:37:01"/>
    <x v="172"/>
    <x v="0"/>
    <x v="0"/>
    <x v="0"/>
    <x v="2"/>
    <x v="0"/>
    <x v="4"/>
    <x v="0"/>
    <x v="0"/>
    <x v="0"/>
    <s v="En redes sociales"/>
    <x v="1"/>
    <x v="1"/>
    <x v="3"/>
    <n v="0"/>
    <x v="1"/>
    <x v="2"/>
    <x v="14"/>
    <x v="2"/>
    <x v="2"/>
    <x v="5"/>
    <x v="0"/>
    <x v="3"/>
    <x v="2"/>
    <x v="56"/>
    <x v="39"/>
    <x v="2"/>
  </r>
  <r>
    <d v="2025-10-23T10:26:06"/>
    <x v="173"/>
    <x v="0"/>
    <x v="0"/>
    <x v="0"/>
    <x v="2"/>
    <x v="1"/>
    <x v="4"/>
    <x v="0"/>
    <x v="0"/>
    <x v="0"/>
    <s v="Por interés propio / autoaprendizaje"/>
    <x v="0"/>
    <x v="3"/>
    <x v="10"/>
    <n v="1"/>
    <x v="2"/>
    <x v="2"/>
    <x v="29"/>
    <x v="3"/>
    <x v="1"/>
    <x v="1"/>
    <x v="2"/>
    <x v="0"/>
    <x v="12"/>
    <x v="57"/>
    <x v="22"/>
    <x v="2"/>
  </r>
  <r>
    <d v="2025-10-23T10:31:30"/>
    <x v="174"/>
    <x v="0"/>
    <x v="0"/>
    <x v="0"/>
    <x v="2"/>
    <x v="1"/>
    <x v="4"/>
    <x v="0"/>
    <x v="2"/>
    <x v="0"/>
    <s v="En la universidad"/>
    <x v="4"/>
    <x v="4"/>
    <x v="38"/>
    <n v="2"/>
    <x v="2"/>
    <x v="1"/>
    <x v="2"/>
    <x v="3"/>
    <x v="4"/>
    <x v="0"/>
    <x v="2"/>
    <x v="0"/>
    <x v="16"/>
    <x v="58"/>
    <x v="24"/>
    <x v="2"/>
  </r>
  <r>
    <d v="2025-10-23T13:45:59"/>
    <x v="175"/>
    <x v="0"/>
    <x v="0"/>
    <x v="0"/>
    <x v="2"/>
    <x v="1"/>
    <x v="4"/>
    <x v="0"/>
    <x v="1"/>
    <x v="0"/>
    <s v="Por interés propio / autoaprendizaje"/>
    <x v="2"/>
    <x v="0"/>
    <x v="10"/>
    <n v="0"/>
    <x v="0"/>
    <x v="2"/>
    <x v="2"/>
    <x v="1"/>
    <x v="1"/>
    <x v="4"/>
    <x v="0"/>
    <x v="0"/>
    <x v="6"/>
    <x v="59"/>
    <x v="12"/>
    <x v="2"/>
  </r>
  <r>
    <d v="2025-10-23T13:54:47"/>
    <x v="176"/>
    <x v="0"/>
    <x v="0"/>
    <x v="0"/>
    <x v="2"/>
    <x v="0"/>
    <x v="4"/>
    <x v="0"/>
    <x v="1"/>
    <x v="0"/>
    <s v="En otros medios de comunicación"/>
    <x v="1"/>
    <x v="1"/>
    <x v="1"/>
    <n v="0"/>
    <x v="1"/>
    <x v="2"/>
    <x v="10"/>
    <x v="2"/>
    <x v="1"/>
    <x v="4"/>
    <x v="0"/>
    <x v="0"/>
    <x v="13"/>
    <x v="60"/>
    <x v="15"/>
    <x v="2"/>
  </r>
  <r>
    <d v="2025-10-23T14:13:14"/>
    <x v="177"/>
    <x v="0"/>
    <x v="0"/>
    <x v="0"/>
    <x v="2"/>
    <x v="1"/>
    <x v="4"/>
    <x v="0"/>
    <x v="2"/>
    <x v="0"/>
    <s v="En otros medios de comunicación"/>
    <x v="2"/>
    <x v="1"/>
    <x v="28"/>
    <n v="0"/>
    <x v="0"/>
    <x v="1"/>
    <x v="12"/>
    <x v="1"/>
    <x v="1"/>
    <x v="4"/>
    <x v="0"/>
    <x v="3"/>
    <x v="13"/>
    <x v="61"/>
    <x v="10"/>
    <x v="2"/>
  </r>
  <r>
    <d v="2025-10-23T16:05:52"/>
    <x v="178"/>
    <x v="0"/>
    <x v="0"/>
    <x v="0"/>
    <x v="0"/>
    <x v="1"/>
    <x v="4"/>
    <x v="0"/>
    <x v="2"/>
    <x v="0"/>
    <s v="En redes sociales"/>
    <x v="1"/>
    <x v="0"/>
    <x v="24"/>
    <n v="0"/>
    <x v="0"/>
    <x v="4"/>
    <x v="0"/>
    <x v="1"/>
    <x v="10"/>
    <x v="0"/>
    <x v="1"/>
    <x v="0"/>
    <x v="8"/>
    <x v="10"/>
    <x v="44"/>
    <x v="2"/>
  </r>
  <r>
    <d v="2025-10-23T17:43:40"/>
    <x v="179"/>
    <x v="0"/>
    <x v="0"/>
    <x v="0"/>
    <x v="2"/>
    <x v="0"/>
    <x v="4"/>
    <x v="0"/>
    <x v="5"/>
    <x v="0"/>
    <s v="Por interés propio / autoaprendizaje"/>
    <x v="2"/>
    <x v="0"/>
    <x v="13"/>
    <n v="0"/>
    <x v="0"/>
    <x v="4"/>
    <x v="1"/>
    <x v="3"/>
    <x v="1"/>
    <x v="1"/>
    <x v="2"/>
    <x v="3"/>
    <x v="3"/>
    <x v="62"/>
    <x v="12"/>
    <x v="2"/>
  </r>
  <r>
    <d v="2025-10-23T18:35:03"/>
    <x v="180"/>
    <x v="0"/>
    <x v="0"/>
    <x v="0"/>
    <x v="2"/>
    <x v="0"/>
    <x v="4"/>
    <x v="0"/>
    <x v="0"/>
    <x v="0"/>
    <s v="En redes sociales"/>
    <x v="0"/>
    <x v="0"/>
    <x v="37"/>
    <n v="0"/>
    <x v="0"/>
    <x v="3"/>
    <x v="14"/>
    <x v="0"/>
    <x v="4"/>
    <x v="4"/>
    <x v="0"/>
    <x v="3"/>
    <x v="29"/>
    <x v="13"/>
    <x v="12"/>
    <x v="2"/>
  </r>
  <r>
    <d v="2025-10-23T18:51:05"/>
    <x v="181"/>
    <x v="0"/>
    <x v="0"/>
    <x v="0"/>
    <x v="2"/>
    <x v="0"/>
    <x v="4"/>
    <x v="0"/>
    <x v="2"/>
    <x v="0"/>
    <s v="En la universidad"/>
    <x v="1"/>
    <x v="1"/>
    <x v="12"/>
    <n v="1"/>
    <x v="0"/>
    <x v="3"/>
    <x v="30"/>
    <x v="0"/>
    <x v="2"/>
    <x v="0"/>
    <x v="0"/>
    <x v="2"/>
    <x v="5"/>
    <x v="63"/>
    <x v="4"/>
    <x v="2"/>
  </r>
  <r>
    <d v="2025-10-23T19:22:10"/>
    <x v="182"/>
    <x v="0"/>
    <x v="0"/>
    <x v="0"/>
    <x v="0"/>
    <x v="0"/>
    <x v="4"/>
    <x v="0"/>
    <x v="0"/>
    <x v="0"/>
    <s v="Youtube"/>
    <x v="0"/>
    <x v="2"/>
    <x v="39"/>
    <n v="2"/>
    <x v="2"/>
    <x v="0"/>
    <x v="31"/>
    <x v="0"/>
    <x v="4"/>
    <x v="1"/>
    <x v="2"/>
    <x v="1"/>
    <x v="0"/>
    <x v="64"/>
    <x v="15"/>
    <x v="2"/>
  </r>
  <r>
    <d v="2025-10-23T19:34:27"/>
    <x v="183"/>
    <x v="0"/>
    <x v="0"/>
    <x v="0"/>
    <x v="0"/>
    <x v="1"/>
    <x v="4"/>
    <x v="0"/>
    <x v="0"/>
    <x v="0"/>
    <s v="En redes sociales"/>
    <x v="0"/>
    <x v="2"/>
    <x v="32"/>
    <n v="4"/>
    <x v="2"/>
    <x v="0"/>
    <x v="32"/>
    <x v="4"/>
    <x v="10"/>
    <x v="1"/>
    <x v="2"/>
    <x v="1"/>
    <x v="7"/>
    <x v="52"/>
    <x v="35"/>
    <x v="2"/>
  </r>
  <r>
    <d v="2025-10-23T19:45:16"/>
    <x v="184"/>
    <x v="0"/>
    <x v="0"/>
    <x v="0"/>
    <x v="0"/>
    <x v="0"/>
    <x v="4"/>
    <x v="1"/>
    <x v="2"/>
    <x v="0"/>
    <s v="En otros medios de comunicación"/>
    <x v="2"/>
    <x v="3"/>
    <x v="24"/>
    <n v="1"/>
    <x v="0"/>
    <x v="0"/>
    <x v="15"/>
    <x v="4"/>
    <x v="3"/>
    <x v="1"/>
    <x v="1"/>
    <x v="3"/>
    <x v="7"/>
    <x v="8"/>
    <x v="18"/>
    <x v="2"/>
  </r>
  <r>
    <d v="2025-10-24T10:01:50"/>
    <x v="185"/>
    <x v="0"/>
    <x v="0"/>
    <x v="0"/>
    <x v="1"/>
    <x v="1"/>
    <x v="4"/>
    <x v="0"/>
    <x v="3"/>
    <x v="0"/>
    <s v="En la universidad"/>
    <x v="2"/>
    <x v="0"/>
    <x v="24"/>
    <n v="0"/>
    <x v="0"/>
    <x v="4"/>
    <x v="0"/>
    <x v="1"/>
    <x v="1"/>
    <x v="4"/>
    <x v="1"/>
    <x v="1"/>
    <x v="25"/>
    <x v="8"/>
    <x v="37"/>
    <x v="3"/>
  </r>
  <r>
    <d v="2025-10-24T10:13:06"/>
    <x v="186"/>
    <x v="0"/>
    <x v="0"/>
    <x v="0"/>
    <x v="1"/>
    <x v="0"/>
    <x v="4"/>
    <x v="1"/>
    <x v="1"/>
    <x v="0"/>
    <s v="En redes sociales"/>
    <x v="1"/>
    <x v="1"/>
    <x v="1"/>
    <n v="0"/>
    <x v="3"/>
    <x v="2"/>
    <x v="15"/>
    <x v="0"/>
    <x v="2"/>
    <x v="1"/>
    <x v="0"/>
    <x v="1"/>
    <x v="10"/>
    <x v="7"/>
    <x v="22"/>
    <x v="3"/>
  </r>
  <r>
    <d v="2025-10-24T10:19:34"/>
    <x v="187"/>
    <x v="0"/>
    <x v="0"/>
    <x v="0"/>
    <x v="1"/>
    <x v="0"/>
    <x v="4"/>
    <x v="1"/>
    <x v="5"/>
    <x v="0"/>
    <s v="En la universidad"/>
    <x v="2"/>
    <x v="0"/>
    <x v="6"/>
    <n v="1"/>
    <x v="1"/>
    <x v="1"/>
    <x v="0"/>
    <x v="0"/>
    <x v="4"/>
    <x v="4"/>
    <x v="0"/>
    <x v="1"/>
    <x v="10"/>
    <x v="33"/>
    <x v="22"/>
    <x v="3"/>
  </r>
  <r>
    <d v="2025-10-24T10:42:44"/>
    <x v="188"/>
    <x v="0"/>
    <x v="0"/>
    <x v="0"/>
    <x v="1"/>
    <x v="1"/>
    <x v="4"/>
    <x v="0"/>
    <x v="2"/>
    <x v="0"/>
    <s v="En la universidad"/>
    <x v="0"/>
    <x v="3"/>
    <x v="24"/>
    <n v="1"/>
    <x v="0"/>
    <x v="4"/>
    <x v="1"/>
    <x v="1"/>
    <x v="1"/>
    <x v="4"/>
    <x v="2"/>
    <x v="1"/>
    <x v="6"/>
    <x v="8"/>
    <x v="7"/>
    <x v="3"/>
  </r>
  <r>
    <d v="2025-10-24T11:39:40"/>
    <x v="189"/>
    <x v="0"/>
    <x v="0"/>
    <x v="0"/>
    <x v="1"/>
    <x v="0"/>
    <x v="4"/>
    <x v="0"/>
    <x v="1"/>
    <x v="0"/>
    <s v="En redes sociales"/>
    <x v="2"/>
    <x v="0"/>
    <x v="3"/>
    <n v="0"/>
    <x v="0"/>
    <x v="1"/>
    <x v="0"/>
    <x v="1"/>
    <x v="1"/>
    <x v="3"/>
    <x v="0"/>
    <x v="1"/>
    <x v="10"/>
    <x v="1"/>
    <x v="22"/>
    <x v="3"/>
  </r>
  <r>
    <d v="2025-10-24T12:11:34"/>
    <x v="190"/>
    <x v="0"/>
    <x v="0"/>
    <x v="0"/>
    <x v="1"/>
    <x v="0"/>
    <x v="4"/>
    <x v="1"/>
    <x v="4"/>
    <x v="1"/>
    <s v="En esta encuesta 😅"/>
    <x v="1"/>
    <x v="1"/>
    <x v="1"/>
    <n v="0"/>
    <x v="1"/>
    <x v="2"/>
    <x v="7"/>
    <x v="2"/>
    <x v="0"/>
    <x v="2"/>
    <x v="1"/>
    <x v="0"/>
    <x v="10"/>
    <x v="7"/>
    <x v="7"/>
    <x v="3"/>
  </r>
  <r>
    <d v="2025-10-24T12:19:45"/>
    <x v="191"/>
    <x v="0"/>
    <x v="0"/>
    <x v="0"/>
    <x v="1"/>
    <x v="0"/>
    <x v="4"/>
    <x v="0"/>
    <x v="1"/>
    <x v="0"/>
    <s v="En cursos o conferencias"/>
    <x v="0"/>
    <x v="1"/>
    <x v="6"/>
    <n v="1"/>
    <x v="2"/>
    <x v="1"/>
    <x v="0"/>
    <x v="0"/>
    <x v="4"/>
    <x v="4"/>
    <x v="2"/>
    <x v="1"/>
    <x v="6"/>
    <x v="8"/>
    <x v="7"/>
    <x v="3"/>
  </r>
  <r>
    <d v="2025-10-24T13:31:12"/>
    <x v="192"/>
    <x v="0"/>
    <x v="0"/>
    <x v="0"/>
    <x v="1"/>
    <x v="1"/>
    <x v="4"/>
    <x v="0"/>
    <x v="2"/>
    <x v="0"/>
    <s v="En la universidad"/>
    <x v="0"/>
    <x v="0"/>
    <x v="24"/>
    <n v="1"/>
    <x v="0"/>
    <x v="1"/>
    <x v="1"/>
    <x v="1"/>
    <x v="1"/>
    <x v="4"/>
    <x v="2"/>
    <x v="1"/>
    <x v="6"/>
    <x v="1"/>
    <x v="15"/>
    <x v="3"/>
  </r>
  <r>
    <d v="2025-10-24T14:02:01"/>
    <x v="193"/>
    <x v="0"/>
    <x v="0"/>
    <x v="0"/>
    <x v="1"/>
    <x v="0"/>
    <x v="4"/>
    <x v="0"/>
    <x v="1"/>
    <x v="0"/>
    <s v="En la universidad"/>
    <x v="0"/>
    <x v="3"/>
    <x v="6"/>
    <n v="1"/>
    <x v="2"/>
    <x v="4"/>
    <x v="1"/>
    <x v="0"/>
    <x v="1"/>
    <x v="4"/>
    <x v="2"/>
    <x v="1"/>
    <x v="6"/>
    <x v="10"/>
    <x v="15"/>
    <x v="3"/>
  </r>
  <r>
    <d v="2025-10-24T17:22:38"/>
    <x v="194"/>
    <x v="0"/>
    <x v="0"/>
    <x v="0"/>
    <x v="1"/>
    <x v="0"/>
    <x v="4"/>
    <x v="1"/>
    <x v="4"/>
    <x v="1"/>
    <s v="En esta encuesta 😅"/>
    <x v="1"/>
    <x v="1"/>
    <x v="1"/>
    <n v="0"/>
    <x v="1"/>
    <x v="2"/>
    <x v="7"/>
    <x v="2"/>
    <x v="0"/>
    <x v="5"/>
    <x v="1"/>
    <x v="0"/>
    <x v="0"/>
    <x v="7"/>
    <x v="50"/>
    <x v="3"/>
  </r>
  <r>
    <d v="2025-10-24T17:43:25"/>
    <x v="195"/>
    <x v="0"/>
    <x v="0"/>
    <x v="0"/>
    <x v="1"/>
    <x v="0"/>
    <x v="4"/>
    <x v="2"/>
    <x v="0"/>
    <x v="0"/>
    <s v="En otros medios de comunicación"/>
    <x v="0"/>
    <x v="3"/>
    <x v="23"/>
    <n v="1"/>
    <x v="2"/>
    <x v="4"/>
    <x v="0"/>
    <x v="0"/>
    <x v="4"/>
    <x v="1"/>
    <x v="2"/>
    <x v="3"/>
    <x v="3"/>
    <x v="33"/>
    <x v="7"/>
    <x v="3"/>
  </r>
  <r>
    <d v="2025-10-24T18:01:01"/>
    <x v="196"/>
    <x v="0"/>
    <x v="0"/>
    <x v="0"/>
    <x v="1"/>
    <x v="1"/>
    <x v="4"/>
    <x v="0"/>
    <x v="1"/>
    <x v="0"/>
    <s v="En la universidad"/>
    <x v="0"/>
    <x v="3"/>
    <x v="0"/>
    <n v="1"/>
    <x v="0"/>
    <x v="4"/>
    <x v="15"/>
    <x v="1"/>
    <x v="1"/>
    <x v="4"/>
    <x v="2"/>
    <x v="1"/>
    <x v="6"/>
    <x v="1"/>
    <x v="12"/>
    <x v="3"/>
  </r>
  <r>
    <d v="2025-10-24T18:24:23"/>
    <x v="197"/>
    <x v="0"/>
    <x v="0"/>
    <x v="0"/>
    <x v="1"/>
    <x v="0"/>
    <x v="4"/>
    <x v="1"/>
    <x v="5"/>
    <x v="0"/>
    <s v="En la universidad"/>
    <x v="0"/>
    <x v="0"/>
    <x v="4"/>
    <n v="0"/>
    <x v="2"/>
    <x v="0"/>
    <x v="25"/>
    <x v="0"/>
    <x v="9"/>
    <x v="1"/>
    <x v="2"/>
    <x v="3"/>
    <x v="28"/>
    <x v="30"/>
    <x v="19"/>
    <x v="3"/>
  </r>
  <r>
    <d v="2025-10-24T18:34:37"/>
    <x v="198"/>
    <x v="0"/>
    <x v="0"/>
    <x v="0"/>
    <x v="3"/>
    <x v="3"/>
    <x v="4"/>
    <x v="0"/>
    <x v="2"/>
    <x v="0"/>
    <s v="En la universidad"/>
    <x v="2"/>
    <x v="1"/>
    <x v="3"/>
    <n v="0"/>
    <x v="4"/>
    <x v="3"/>
    <x v="33"/>
    <x v="2"/>
    <x v="1"/>
    <x v="0"/>
    <x v="0"/>
    <x v="1"/>
    <x v="16"/>
    <x v="7"/>
    <x v="51"/>
    <x v="3"/>
  </r>
  <r>
    <d v="2025-10-24T18:40:32"/>
    <x v="199"/>
    <x v="0"/>
    <x v="0"/>
    <x v="0"/>
    <x v="3"/>
    <x v="0"/>
    <x v="4"/>
    <x v="1"/>
    <x v="2"/>
    <x v="0"/>
    <s v="En redes sociales"/>
    <x v="0"/>
    <x v="3"/>
    <x v="23"/>
    <n v="1"/>
    <x v="1"/>
    <x v="4"/>
    <x v="15"/>
    <x v="0"/>
    <x v="10"/>
    <x v="3"/>
    <x v="2"/>
    <x v="0"/>
    <x v="26"/>
    <x v="65"/>
    <x v="52"/>
    <x v="3"/>
  </r>
  <r>
    <d v="2025-10-24T19:05:58"/>
    <x v="200"/>
    <x v="0"/>
    <x v="0"/>
    <x v="0"/>
    <x v="3"/>
    <x v="1"/>
    <x v="4"/>
    <x v="0"/>
    <x v="3"/>
    <x v="0"/>
    <s v="En la universidad"/>
    <x v="4"/>
    <x v="2"/>
    <x v="40"/>
    <n v="6"/>
    <x v="2"/>
    <x v="0"/>
    <x v="25"/>
    <x v="3"/>
    <x v="6"/>
    <x v="1"/>
    <x v="2"/>
    <x v="0"/>
    <x v="7"/>
    <x v="66"/>
    <x v="30"/>
    <x v="3"/>
  </r>
  <r>
    <d v="2025-10-24T19:53:38"/>
    <x v="201"/>
    <x v="0"/>
    <x v="0"/>
    <x v="0"/>
    <x v="3"/>
    <x v="1"/>
    <x v="4"/>
    <x v="0"/>
    <x v="2"/>
    <x v="0"/>
    <s v="En redes sociales"/>
    <x v="0"/>
    <x v="0"/>
    <x v="24"/>
    <n v="0"/>
    <x v="1"/>
    <x v="2"/>
    <x v="1"/>
    <x v="1"/>
    <x v="6"/>
    <x v="0"/>
    <x v="1"/>
    <x v="0"/>
    <x v="7"/>
    <x v="7"/>
    <x v="39"/>
    <x v="3"/>
  </r>
  <r>
    <d v="2025-10-24T20:04:56"/>
    <x v="202"/>
    <x v="0"/>
    <x v="0"/>
    <x v="0"/>
    <x v="3"/>
    <x v="0"/>
    <x v="4"/>
    <x v="0"/>
    <x v="0"/>
    <x v="0"/>
    <s v="Por interés propio / autoaprendizaje"/>
    <x v="0"/>
    <x v="3"/>
    <x v="27"/>
    <n v="2"/>
    <x v="0"/>
    <x v="4"/>
    <x v="16"/>
    <x v="1"/>
    <x v="5"/>
    <x v="4"/>
    <x v="0"/>
    <x v="0"/>
    <x v="7"/>
    <x v="50"/>
    <x v="26"/>
    <x v="3"/>
  </r>
  <r>
    <d v="2025-10-24T20:15:23"/>
    <x v="203"/>
    <x v="0"/>
    <x v="0"/>
    <x v="0"/>
    <x v="3"/>
    <x v="0"/>
    <x v="4"/>
    <x v="0"/>
    <x v="1"/>
    <x v="0"/>
    <s v="En redes sociales"/>
    <x v="2"/>
    <x v="0"/>
    <x v="6"/>
    <n v="0"/>
    <x v="3"/>
    <x v="2"/>
    <x v="1"/>
    <x v="1"/>
    <x v="4"/>
    <x v="3"/>
    <x v="1"/>
    <x v="0"/>
    <x v="28"/>
    <x v="7"/>
    <x v="5"/>
    <x v="3"/>
  </r>
  <r>
    <d v="2025-10-24T21:01:38"/>
    <x v="204"/>
    <x v="0"/>
    <x v="0"/>
    <x v="0"/>
    <x v="0"/>
    <x v="0"/>
    <x v="4"/>
    <x v="0"/>
    <x v="2"/>
    <x v="0"/>
    <s v="En la universidad"/>
    <x v="1"/>
    <x v="1"/>
    <x v="1"/>
    <n v="1"/>
    <x v="3"/>
    <x v="3"/>
    <x v="21"/>
    <x v="2"/>
    <x v="4"/>
    <x v="3"/>
    <x v="1"/>
    <x v="0"/>
    <x v="35"/>
    <x v="7"/>
    <x v="35"/>
    <x v="3"/>
  </r>
  <r>
    <d v="2025-10-24T21:04:01"/>
    <x v="205"/>
    <x v="0"/>
    <x v="0"/>
    <x v="0"/>
    <x v="3"/>
    <x v="1"/>
    <x v="4"/>
    <x v="0"/>
    <x v="2"/>
    <x v="0"/>
    <s v="En redes sociales"/>
    <x v="0"/>
    <x v="3"/>
    <x v="6"/>
    <n v="0"/>
    <x v="3"/>
    <x v="2"/>
    <x v="25"/>
    <x v="2"/>
    <x v="6"/>
    <x v="3"/>
    <x v="0"/>
    <x v="0"/>
    <x v="7"/>
    <x v="7"/>
    <x v="41"/>
    <x v="3"/>
  </r>
  <r>
    <d v="2025-10-24T21:06:12"/>
    <x v="206"/>
    <x v="0"/>
    <x v="0"/>
    <x v="0"/>
    <x v="3"/>
    <x v="0"/>
    <x v="4"/>
    <x v="0"/>
    <x v="3"/>
    <x v="0"/>
    <s v="En la universidad"/>
    <x v="0"/>
    <x v="0"/>
    <x v="41"/>
    <n v="3"/>
    <x v="1"/>
    <x v="4"/>
    <x v="0"/>
    <x v="1"/>
    <x v="5"/>
    <x v="3"/>
    <x v="2"/>
    <x v="0"/>
    <x v="7"/>
    <x v="7"/>
    <x v="30"/>
    <x v="3"/>
  </r>
  <r>
    <d v="2025-10-24T21:09:43"/>
    <x v="207"/>
    <x v="0"/>
    <x v="0"/>
    <x v="0"/>
    <x v="0"/>
    <x v="0"/>
    <x v="4"/>
    <x v="0"/>
    <x v="2"/>
    <x v="0"/>
    <s v="Por interés propio / autoaprendizaje"/>
    <x v="0"/>
    <x v="2"/>
    <x v="42"/>
    <n v="2"/>
    <x v="2"/>
    <x v="4"/>
    <x v="4"/>
    <x v="3"/>
    <x v="10"/>
    <x v="1"/>
    <x v="0"/>
    <x v="0"/>
    <x v="33"/>
    <x v="10"/>
    <x v="13"/>
    <x v="3"/>
  </r>
  <r>
    <d v="2025-10-24T21:14:42"/>
    <x v="208"/>
    <x v="0"/>
    <x v="0"/>
    <x v="0"/>
    <x v="0"/>
    <x v="0"/>
    <x v="4"/>
    <x v="0"/>
    <x v="2"/>
    <x v="0"/>
    <s v="En redes sociales"/>
    <x v="3"/>
    <x v="2"/>
    <x v="6"/>
    <n v="4"/>
    <x v="4"/>
    <x v="3"/>
    <x v="0"/>
    <x v="2"/>
    <x v="10"/>
    <x v="7"/>
    <x v="1"/>
    <x v="0"/>
    <x v="0"/>
    <x v="7"/>
    <x v="30"/>
    <x v="3"/>
  </r>
  <r>
    <d v="2025-10-24T21:36:24"/>
    <x v="209"/>
    <x v="0"/>
    <x v="0"/>
    <x v="0"/>
    <x v="0"/>
    <x v="0"/>
    <x v="4"/>
    <x v="0"/>
    <x v="2"/>
    <x v="0"/>
    <s v="En cursos o conferencias"/>
    <x v="1"/>
    <x v="3"/>
    <x v="23"/>
    <n v="1"/>
    <x v="1"/>
    <x v="4"/>
    <x v="27"/>
    <x v="1"/>
    <x v="1"/>
    <x v="3"/>
    <x v="1"/>
    <x v="0"/>
    <x v="33"/>
    <x v="1"/>
    <x v="30"/>
    <x v="3"/>
  </r>
  <r>
    <d v="2025-10-24T21:52:28"/>
    <x v="210"/>
    <x v="0"/>
    <x v="0"/>
    <x v="0"/>
    <x v="0"/>
    <x v="0"/>
    <x v="4"/>
    <x v="0"/>
    <x v="2"/>
    <x v="0"/>
    <s v="En la universidad"/>
    <x v="1"/>
    <x v="0"/>
    <x v="3"/>
    <n v="1"/>
    <x v="0"/>
    <x v="3"/>
    <x v="25"/>
    <x v="0"/>
    <x v="4"/>
    <x v="0"/>
    <x v="0"/>
    <x v="0"/>
    <x v="13"/>
    <x v="1"/>
    <x v="30"/>
    <x v="3"/>
  </r>
  <r>
    <d v="2025-10-24T21:57:56"/>
    <x v="211"/>
    <x v="0"/>
    <x v="0"/>
    <x v="0"/>
    <x v="0"/>
    <x v="1"/>
    <x v="4"/>
    <x v="0"/>
    <x v="2"/>
    <x v="0"/>
    <s v="Por interés propio / autoaprendizaje"/>
    <x v="1"/>
    <x v="0"/>
    <x v="31"/>
    <n v="2"/>
    <x v="2"/>
    <x v="0"/>
    <x v="16"/>
    <x v="3"/>
    <x v="6"/>
    <x v="1"/>
    <x v="2"/>
    <x v="0"/>
    <x v="1"/>
    <x v="10"/>
    <x v="44"/>
    <x v="3"/>
  </r>
  <r>
    <d v="2025-10-24T21:59:21"/>
    <x v="212"/>
    <x v="0"/>
    <x v="0"/>
    <x v="0"/>
    <x v="0"/>
    <x v="1"/>
    <x v="4"/>
    <x v="0"/>
    <x v="2"/>
    <x v="0"/>
    <s v="En redes sociales"/>
    <x v="1"/>
    <x v="1"/>
    <x v="24"/>
    <n v="0"/>
    <x v="0"/>
    <x v="4"/>
    <x v="21"/>
    <x v="1"/>
    <x v="1"/>
    <x v="1"/>
    <x v="1"/>
    <x v="0"/>
    <x v="5"/>
    <x v="6"/>
    <x v="11"/>
    <x v="3"/>
  </r>
  <r>
    <d v="2025-10-24T22:06:48"/>
    <x v="213"/>
    <x v="0"/>
    <x v="0"/>
    <x v="0"/>
    <x v="0"/>
    <x v="1"/>
    <x v="4"/>
    <x v="0"/>
    <x v="0"/>
    <x v="0"/>
    <s v="En la universidad"/>
    <x v="1"/>
    <x v="3"/>
    <x v="0"/>
    <n v="2"/>
    <x v="2"/>
    <x v="0"/>
    <x v="0"/>
    <x v="1"/>
    <x v="1"/>
    <x v="1"/>
    <x v="2"/>
    <x v="1"/>
    <x v="34"/>
    <x v="10"/>
    <x v="50"/>
    <x v="3"/>
  </r>
  <r>
    <d v="2025-10-24T22:23:33"/>
    <x v="214"/>
    <x v="0"/>
    <x v="0"/>
    <x v="0"/>
    <x v="0"/>
    <x v="1"/>
    <x v="4"/>
    <x v="1"/>
    <x v="1"/>
    <x v="0"/>
    <s v="Por interés propio / autoaprendizaje"/>
    <x v="4"/>
    <x v="4"/>
    <x v="8"/>
    <n v="1"/>
    <x v="2"/>
    <x v="3"/>
    <x v="1"/>
    <x v="0"/>
    <x v="2"/>
    <x v="4"/>
    <x v="1"/>
    <x v="0"/>
    <x v="6"/>
    <x v="1"/>
    <x v="5"/>
    <x v="3"/>
  </r>
  <r>
    <d v="2025-10-24T22:42:10"/>
    <x v="215"/>
    <x v="0"/>
    <x v="0"/>
    <x v="0"/>
    <x v="0"/>
    <x v="0"/>
    <x v="4"/>
    <x v="0"/>
    <x v="2"/>
    <x v="0"/>
    <s v="Por interés propio / autoaprendizaje"/>
    <x v="0"/>
    <x v="2"/>
    <x v="43"/>
    <n v="1"/>
    <x v="2"/>
    <x v="4"/>
    <x v="2"/>
    <x v="0"/>
    <x v="11"/>
    <x v="4"/>
    <x v="4"/>
    <x v="0"/>
    <x v="1"/>
    <x v="30"/>
    <x v="53"/>
    <x v="3"/>
  </r>
  <r>
    <d v="2025-10-24T22:49:06"/>
    <x v="216"/>
    <x v="0"/>
    <x v="0"/>
    <x v="0"/>
    <x v="2"/>
    <x v="1"/>
    <x v="4"/>
    <x v="0"/>
    <x v="2"/>
    <x v="0"/>
    <s v="Por interés propio / autoaprendizaje"/>
    <x v="2"/>
    <x v="0"/>
    <x v="32"/>
    <n v="1"/>
    <x v="0"/>
    <x v="4"/>
    <x v="13"/>
    <x v="1"/>
    <x v="1"/>
    <x v="3"/>
    <x v="1"/>
    <x v="1"/>
    <x v="7"/>
    <x v="33"/>
    <x v="54"/>
    <x v="3"/>
  </r>
  <r>
    <d v="2025-10-24T22:51:01"/>
    <x v="217"/>
    <x v="0"/>
    <x v="0"/>
    <x v="0"/>
    <x v="0"/>
    <x v="0"/>
    <x v="4"/>
    <x v="1"/>
    <x v="1"/>
    <x v="0"/>
    <s v="En redes sociales"/>
    <x v="1"/>
    <x v="1"/>
    <x v="16"/>
    <n v="0"/>
    <x v="3"/>
    <x v="3"/>
    <x v="0"/>
    <x v="1"/>
    <x v="0"/>
    <x v="0"/>
    <x v="1"/>
    <x v="0"/>
    <x v="0"/>
    <x v="7"/>
    <x v="30"/>
    <x v="3"/>
  </r>
  <r>
    <d v="2025-10-21T00:01:39"/>
    <x v="218"/>
    <x v="0"/>
    <x v="0"/>
    <x v="0"/>
    <x v="2"/>
    <x v="1"/>
    <x v="5"/>
    <x v="0"/>
    <x v="2"/>
    <x v="0"/>
    <s v="En redes sociales"/>
    <x v="1"/>
    <x v="0"/>
    <x v="44"/>
    <n v="0"/>
    <x v="0"/>
    <x v="4"/>
    <x v="21"/>
    <x v="1"/>
    <x v="2"/>
    <x v="1"/>
    <x v="0"/>
    <x v="1"/>
    <x v="3"/>
    <x v="67"/>
    <x v="35"/>
    <x v="0"/>
  </r>
  <r>
    <d v="2025-10-21T23:21:42"/>
    <x v="219"/>
    <x v="0"/>
    <x v="0"/>
    <x v="0"/>
    <x v="0"/>
    <x v="1"/>
    <x v="5"/>
    <x v="0"/>
    <x v="0"/>
    <x v="0"/>
    <s v="Por interés propio / autoaprendizaje"/>
    <x v="2"/>
    <x v="3"/>
    <x v="1"/>
    <n v="0"/>
    <x v="1"/>
    <x v="4"/>
    <x v="23"/>
    <x v="1"/>
    <x v="10"/>
    <x v="1"/>
    <x v="1"/>
    <x v="1"/>
    <x v="36"/>
    <x v="40"/>
    <x v="19"/>
    <x v="0"/>
  </r>
  <r>
    <d v="2025-10-21T23:44:11"/>
    <x v="220"/>
    <x v="0"/>
    <x v="0"/>
    <x v="0"/>
    <x v="0"/>
    <x v="0"/>
    <x v="5"/>
    <x v="1"/>
    <x v="3"/>
    <x v="0"/>
    <s v="En redes sociales"/>
    <x v="1"/>
    <x v="1"/>
    <x v="1"/>
    <n v="0"/>
    <x v="4"/>
    <x v="3"/>
    <x v="34"/>
    <x v="2"/>
    <x v="6"/>
    <x v="9"/>
    <x v="1"/>
    <x v="2"/>
    <x v="21"/>
    <x v="7"/>
    <x v="55"/>
    <x v="0"/>
  </r>
  <r>
    <d v="2025-10-22T04:18:06"/>
    <x v="221"/>
    <x v="0"/>
    <x v="0"/>
    <x v="0"/>
    <x v="1"/>
    <x v="0"/>
    <x v="5"/>
    <x v="0"/>
    <x v="2"/>
    <x v="0"/>
    <s v="En la universidad"/>
    <x v="0"/>
    <x v="0"/>
    <x v="23"/>
    <n v="1"/>
    <x v="2"/>
    <x v="4"/>
    <x v="1"/>
    <x v="0"/>
    <x v="5"/>
    <x v="1"/>
    <x v="1"/>
    <x v="3"/>
    <x v="16"/>
    <x v="30"/>
    <x v="32"/>
    <x v="1"/>
  </r>
  <r>
    <d v="2025-10-22T09:14:24"/>
    <x v="222"/>
    <x v="0"/>
    <x v="0"/>
    <x v="0"/>
    <x v="1"/>
    <x v="1"/>
    <x v="5"/>
    <x v="0"/>
    <x v="2"/>
    <x v="0"/>
    <s v="Por interés propio / autoaprendizaje"/>
    <x v="0"/>
    <x v="3"/>
    <x v="31"/>
    <n v="3"/>
    <x v="2"/>
    <x v="0"/>
    <x v="10"/>
    <x v="4"/>
    <x v="7"/>
    <x v="1"/>
    <x v="1"/>
    <x v="3"/>
    <x v="10"/>
    <x v="30"/>
    <x v="22"/>
    <x v="1"/>
  </r>
  <r>
    <d v="2025-10-22T21:12:54"/>
    <x v="223"/>
    <x v="0"/>
    <x v="0"/>
    <x v="0"/>
    <x v="2"/>
    <x v="0"/>
    <x v="5"/>
    <x v="0"/>
    <x v="0"/>
    <x v="0"/>
    <s v="En redes sociales"/>
    <x v="2"/>
    <x v="1"/>
    <x v="45"/>
    <n v="1"/>
    <x v="2"/>
    <x v="1"/>
    <x v="22"/>
    <x v="0"/>
    <x v="4"/>
    <x v="1"/>
    <x v="0"/>
    <x v="1"/>
    <x v="4"/>
    <x v="68"/>
    <x v="15"/>
    <x v="1"/>
  </r>
  <r>
    <d v="2025-10-22T22:29:36"/>
    <x v="224"/>
    <x v="0"/>
    <x v="0"/>
    <x v="0"/>
    <x v="2"/>
    <x v="1"/>
    <x v="5"/>
    <x v="0"/>
    <x v="4"/>
    <x v="0"/>
    <s v="Por interés propio / autoaprendizaje"/>
    <x v="2"/>
    <x v="0"/>
    <x v="29"/>
    <n v="3"/>
    <x v="2"/>
    <x v="1"/>
    <x v="22"/>
    <x v="0"/>
    <x v="4"/>
    <x v="1"/>
    <x v="2"/>
    <x v="0"/>
    <x v="24"/>
    <x v="36"/>
    <x v="4"/>
    <x v="1"/>
  </r>
  <r>
    <d v="2025-10-23T00:32:03"/>
    <x v="225"/>
    <x v="0"/>
    <x v="0"/>
    <x v="0"/>
    <x v="0"/>
    <x v="1"/>
    <x v="5"/>
    <x v="0"/>
    <x v="1"/>
    <x v="0"/>
    <s v="Por interés propio / autoaprendizaje"/>
    <x v="1"/>
    <x v="2"/>
    <x v="46"/>
    <n v="1"/>
    <x v="2"/>
    <x v="0"/>
    <x v="12"/>
    <x v="4"/>
    <x v="8"/>
    <x v="1"/>
    <x v="0"/>
    <x v="3"/>
    <x v="7"/>
    <x v="69"/>
    <x v="47"/>
    <x v="2"/>
  </r>
  <r>
    <d v="2025-10-23T09:09:35"/>
    <x v="226"/>
    <x v="0"/>
    <x v="0"/>
    <x v="0"/>
    <x v="2"/>
    <x v="1"/>
    <x v="5"/>
    <x v="0"/>
    <x v="5"/>
    <x v="0"/>
    <s v="En la universidad"/>
    <x v="3"/>
    <x v="3"/>
    <x v="22"/>
    <n v="0"/>
    <x v="2"/>
    <x v="1"/>
    <x v="14"/>
    <x v="1"/>
    <x v="1"/>
    <x v="1"/>
    <x v="1"/>
    <x v="1"/>
    <x v="8"/>
    <x v="70"/>
    <x v="19"/>
    <x v="2"/>
  </r>
  <r>
    <d v="2025-10-23T09:16:39"/>
    <x v="227"/>
    <x v="0"/>
    <x v="0"/>
    <x v="0"/>
    <x v="2"/>
    <x v="0"/>
    <x v="5"/>
    <x v="0"/>
    <x v="5"/>
    <x v="0"/>
    <s v="En la universidad"/>
    <x v="2"/>
    <x v="1"/>
    <x v="8"/>
    <n v="1"/>
    <x v="1"/>
    <x v="2"/>
    <x v="25"/>
    <x v="1"/>
    <x v="1"/>
    <x v="1"/>
    <x v="2"/>
    <x v="2"/>
    <x v="3"/>
    <x v="71"/>
    <x v="19"/>
    <x v="2"/>
  </r>
  <r>
    <d v="2025-10-23T09:30:59"/>
    <x v="228"/>
    <x v="0"/>
    <x v="0"/>
    <x v="0"/>
    <x v="2"/>
    <x v="1"/>
    <x v="5"/>
    <x v="0"/>
    <x v="5"/>
    <x v="0"/>
    <s v="En otros medios de comunicación"/>
    <x v="2"/>
    <x v="0"/>
    <x v="47"/>
    <n v="2"/>
    <x v="0"/>
    <x v="2"/>
    <x v="3"/>
    <x v="1"/>
    <x v="4"/>
    <x v="1"/>
    <x v="0"/>
    <x v="2"/>
    <x v="12"/>
    <x v="44"/>
    <x v="5"/>
    <x v="2"/>
  </r>
  <r>
    <d v="2025-10-23T09:54:21"/>
    <x v="229"/>
    <x v="0"/>
    <x v="0"/>
    <x v="0"/>
    <x v="2"/>
    <x v="1"/>
    <x v="5"/>
    <x v="0"/>
    <x v="5"/>
    <x v="0"/>
    <s v="En otros medios de comunicación"/>
    <x v="0"/>
    <x v="0"/>
    <x v="48"/>
    <n v="1"/>
    <x v="0"/>
    <x v="4"/>
    <x v="2"/>
    <x v="1"/>
    <x v="0"/>
    <x v="1"/>
    <x v="1"/>
    <x v="0"/>
    <x v="3"/>
    <x v="72"/>
    <x v="56"/>
    <x v="2"/>
  </r>
  <r>
    <d v="2025-10-23T10:45:38"/>
    <x v="230"/>
    <x v="0"/>
    <x v="0"/>
    <x v="0"/>
    <x v="2"/>
    <x v="0"/>
    <x v="5"/>
    <x v="0"/>
    <x v="0"/>
    <x v="0"/>
    <s v="Por interés propio / autoaprendizaje"/>
    <x v="0"/>
    <x v="3"/>
    <x v="48"/>
    <n v="0"/>
    <x v="2"/>
    <x v="1"/>
    <x v="15"/>
    <x v="0"/>
    <x v="4"/>
    <x v="1"/>
    <x v="2"/>
    <x v="2"/>
    <x v="5"/>
    <x v="73"/>
    <x v="13"/>
    <x v="2"/>
  </r>
  <r>
    <d v="2025-10-23T14:00:03"/>
    <x v="231"/>
    <x v="0"/>
    <x v="0"/>
    <x v="0"/>
    <x v="2"/>
    <x v="1"/>
    <x v="5"/>
    <x v="0"/>
    <x v="0"/>
    <x v="0"/>
    <s v="En redes sociales"/>
    <x v="1"/>
    <x v="1"/>
    <x v="1"/>
    <n v="0"/>
    <x v="1"/>
    <x v="3"/>
    <x v="16"/>
    <x v="3"/>
    <x v="4"/>
    <x v="1"/>
    <x v="1"/>
    <x v="0"/>
    <x v="23"/>
    <x v="74"/>
    <x v="1"/>
    <x v="2"/>
  </r>
  <r>
    <d v="2025-10-23T16:11:07"/>
    <x v="232"/>
    <x v="0"/>
    <x v="0"/>
    <x v="0"/>
    <x v="0"/>
    <x v="0"/>
    <x v="5"/>
    <x v="0"/>
    <x v="2"/>
    <x v="0"/>
    <s v="En redes sociales"/>
    <x v="1"/>
    <x v="0"/>
    <x v="23"/>
    <n v="0"/>
    <x v="1"/>
    <x v="1"/>
    <x v="0"/>
    <x v="1"/>
    <x v="3"/>
    <x v="4"/>
    <x v="1"/>
    <x v="0"/>
    <x v="34"/>
    <x v="1"/>
    <x v="9"/>
    <x v="2"/>
  </r>
  <r>
    <d v="2025-10-23T18:07:39"/>
    <x v="233"/>
    <x v="0"/>
    <x v="0"/>
    <x v="0"/>
    <x v="2"/>
    <x v="1"/>
    <x v="5"/>
    <x v="0"/>
    <x v="3"/>
    <x v="0"/>
    <s v="En otros medios de comunicación"/>
    <x v="2"/>
    <x v="0"/>
    <x v="11"/>
    <n v="0"/>
    <x v="0"/>
    <x v="3"/>
    <x v="21"/>
    <x v="1"/>
    <x v="2"/>
    <x v="4"/>
    <x v="1"/>
    <x v="0"/>
    <x v="12"/>
    <x v="75"/>
    <x v="12"/>
    <x v="2"/>
  </r>
  <r>
    <d v="2025-10-23T19:47:20"/>
    <x v="234"/>
    <x v="0"/>
    <x v="0"/>
    <x v="0"/>
    <x v="0"/>
    <x v="1"/>
    <x v="5"/>
    <x v="0"/>
    <x v="2"/>
    <x v="0"/>
    <s v="Por interés propio / autoaprendizaje"/>
    <x v="3"/>
    <x v="2"/>
    <x v="49"/>
    <n v="5"/>
    <x v="2"/>
    <x v="0"/>
    <x v="12"/>
    <x v="4"/>
    <x v="6"/>
    <x v="1"/>
    <x v="2"/>
    <x v="1"/>
    <x v="28"/>
    <x v="41"/>
    <x v="16"/>
    <x v="2"/>
  </r>
  <r>
    <d v="2025-10-23T19:51:39"/>
    <x v="235"/>
    <x v="0"/>
    <x v="0"/>
    <x v="0"/>
    <x v="0"/>
    <x v="0"/>
    <x v="5"/>
    <x v="0"/>
    <x v="2"/>
    <x v="1"/>
    <s v="En esta encuesta 😅"/>
    <x v="1"/>
    <x v="1"/>
    <x v="1"/>
    <n v="0"/>
    <x v="3"/>
    <x v="4"/>
    <x v="1"/>
    <x v="1"/>
    <x v="10"/>
    <x v="0"/>
    <x v="1"/>
    <x v="0"/>
    <x v="1"/>
    <x v="7"/>
    <x v="45"/>
    <x v="2"/>
  </r>
  <r>
    <d v="2025-10-24T10:04:04"/>
    <x v="236"/>
    <x v="0"/>
    <x v="0"/>
    <x v="0"/>
    <x v="1"/>
    <x v="1"/>
    <x v="5"/>
    <x v="1"/>
    <x v="0"/>
    <x v="0"/>
    <s v="Por interés propio / autoaprendizaje"/>
    <x v="0"/>
    <x v="3"/>
    <x v="17"/>
    <n v="1"/>
    <x v="2"/>
    <x v="0"/>
    <x v="0"/>
    <x v="4"/>
    <x v="12"/>
    <x v="1"/>
    <x v="0"/>
    <x v="3"/>
    <x v="7"/>
    <x v="40"/>
    <x v="30"/>
    <x v="3"/>
  </r>
  <r>
    <d v="2025-10-24T10:49:30"/>
    <x v="237"/>
    <x v="0"/>
    <x v="0"/>
    <x v="0"/>
    <x v="1"/>
    <x v="0"/>
    <x v="5"/>
    <x v="1"/>
    <x v="1"/>
    <x v="1"/>
    <s v="En esta encuesta 😅"/>
    <x v="1"/>
    <x v="1"/>
    <x v="1"/>
    <n v="0"/>
    <x v="1"/>
    <x v="2"/>
    <x v="7"/>
    <x v="2"/>
    <x v="2"/>
    <x v="0"/>
    <x v="0"/>
    <x v="0"/>
    <x v="10"/>
    <x v="7"/>
    <x v="21"/>
    <x v="3"/>
  </r>
  <r>
    <d v="2025-10-24T11:56:27"/>
    <x v="238"/>
    <x v="0"/>
    <x v="0"/>
    <x v="0"/>
    <x v="1"/>
    <x v="1"/>
    <x v="5"/>
    <x v="0"/>
    <x v="0"/>
    <x v="0"/>
    <s v="Por interés propio / autoaprendizaje"/>
    <x v="4"/>
    <x v="4"/>
    <x v="50"/>
    <n v="2"/>
    <x v="2"/>
    <x v="0"/>
    <x v="0"/>
    <x v="4"/>
    <x v="5"/>
    <x v="1"/>
    <x v="3"/>
    <x v="3"/>
    <x v="3"/>
    <x v="9"/>
    <x v="13"/>
    <x v="3"/>
  </r>
  <r>
    <d v="2025-10-24T12:08:38"/>
    <x v="239"/>
    <x v="0"/>
    <x v="0"/>
    <x v="0"/>
    <x v="1"/>
    <x v="1"/>
    <x v="5"/>
    <x v="2"/>
    <x v="3"/>
    <x v="0"/>
    <s v="En la universidad"/>
    <x v="4"/>
    <x v="3"/>
    <x v="4"/>
    <n v="1"/>
    <x v="2"/>
    <x v="0"/>
    <x v="15"/>
    <x v="0"/>
    <x v="4"/>
    <x v="1"/>
    <x v="2"/>
    <x v="3"/>
    <x v="3"/>
    <x v="33"/>
    <x v="15"/>
    <x v="3"/>
  </r>
  <r>
    <d v="2025-10-24T12:37:00"/>
    <x v="240"/>
    <x v="0"/>
    <x v="0"/>
    <x v="0"/>
    <x v="1"/>
    <x v="0"/>
    <x v="5"/>
    <x v="0"/>
    <x v="1"/>
    <x v="0"/>
    <s v="En redes sociales"/>
    <x v="2"/>
    <x v="0"/>
    <x v="3"/>
    <n v="0"/>
    <x v="0"/>
    <x v="4"/>
    <x v="0"/>
    <x v="1"/>
    <x v="1"/>
    <x v="3"/>
    <x v="0"/>
    <x v="1"/>
    <x v="10"/>
    <x v="1"/>
    <x v="15"/>
    <x v="3"/>
  </r>
  <r>
    <d v="2025-10-24T12:58:31"/>
    <x v="241"/>
    <x v="0"/>
    <x v="0"/>
    <x v="0"/>
    <x v="1"/>
    <x v="1"/>
    <x v="5"/>
    <x v="1"/>
    <x v="2"/>
    <x v="0"/>
    <s v="En otros medios de comunicación"/>
    <x v="0"/>
    <x v="3"/>
    <x v="6"/>
    <n v="1"/>
    <x v="0"/>
    <x v="4"/>
    <x v="1"/>
    <x v="0"/>
    <x v="1"/>
    <x v="4"/>
    <x v="2"/>
    <x v="1"/>
    <x v="3"/>
    <x v="8"/>
    <x v="12"/>
    <x v="3"/>
  </r>
  <r>
    <d v="2025-10-24T13:37:34"/>
    <x v="242"/>
    <x v="0"/>
    <x v="0"/>
    <x v="0"/>
    <x v="3"/>
    <x v="1"/>
    <x v="5"/>
    <x v="0"/>
    <x v="1"/>
    <x v="0"/>
    <s v="En otros medios de comunicación"/>
    <x v="0"/>
    <x v="3"/>
    <x v="6"/>
    <n v="1"/>
    <x v="0"/>
    <x v="4"/>
    <x v="25"/>
    <x v="0"/>
    <x v="1"/>
    <x v="4"/>
    <x v="2"/>
    <x v="1"/>
    <x v="13"/>
    <x v="10"/>
    <x v="12"/>
    <x v="3"/>
  </r>
  <r>
    <d v="2025-10-24T13:57:06"/>
    <x v="243"/>
    <x v="0"/>
    <x v="0"/>
    <x v="0"/>
    <x v="1"/>
    <x v="1"/>
    <x v="5"/>
    <x v="1"/>
    <x v="2"/>
    <x v="0"/>
    <s v="En redes sociales"/>
    <x v="2"/>
    <x v="0"/>
    <x v="5"/>
    <n v="0"/>
    <x v="0"/>
    <x v="1"/>
    <x v="0"/>
    <x v="1"/>
    <x v="2"/>
    <x v="3"/>
    <x v="2"/>
    <x v="1"/>
    <x v="6"/>
    <x v="1"/>
    <x v="7"/>
    <x v="3"/>
  </r>
  <r>
    <d v="2025-10-24T14:26:13"/>
    <x v="244"/>
    <x v="0"/>
    <x v="0"/>
    <x v="0"/>
    <x v="1"/>
    <x v="1"/>
    <x v="5"/>
    <x v="2"/>
    <x v="0"/>
    <x v="0"/>
    <s v="En redes sociales"/>
    <x v="0"/>
    <x v="3"/>
    <x v="23"/>
    <n v="1"/>
    <x v="2"/>
    <x v="4"/>
    <x v="0"/>
    <x v="0"/>
    <x v="4"/>
    <x v="1"/>
    <x v="2"/>
    <x v="1"/>
    <x v="6"/>
    <x v="10"/>
    <x v="15"/>
    <x v="3"/>
  </r>
  <r>
    <d v="2025-10-24T17:10:08"/>
    <x v="245"/>
    <x v="0"/>
    <x v="0"/>
    <x v="0"/>
    <x v="1"/>
    <x v="1"/>
    <x v="5"/>
    <x v="2"/>
    <x v="0"/>
    <x v="0"/>
    <s v="En la universidad"/>
    <x v="4"/>
    <x v="4"/>
    <x v="17"/>
    <n v="2"/>
    <x v="2"/>
    <x v="0"/>
    <x v="0"/>
    <x v="0"/>
    <x v="4"/>
    <x v="1"/>
    <x v="2"/>
    <x v="3"/>
    <x v="5"/>
    <x v="33"/>
    <x v="15"/>
    <x v="3"/>
  </r>
  <r>
    <d v="2025-10-24T17:51:33"/>
    <x v="246"/>
    <x v="0"/>
    <x v="0"/>
    <x v="0"/>
    <x v="3"/>
    <x v="0"/>
    <x v="5"/>
    <x v="0"/>
    <x v="4"/>
    <x v="0"/>
    <s v="Por interés propio / autoaprendizaje"/>
    <x v="0"/>
    <x v="3"/>
    <x v="6"/>
    <n v="0"/>
    <x v="0"/>
    <x v="0"/>
    <x v="7"/>
    <x v="0"/>
    <x v="13"/>
    <x v="1"/>
    <x v="0"/>
    <x v="3"/>
    <x v="7"/>
    <x v="76"/>
    <x v="26"/>
    <x v="3"/>
  </r>
  <r>
    <d v="2025-10-24T17:58:00"/>
    <x v="247"/>
    <x v="0"/>
    <x v="0"/>
    <x v="0"/>
    <x v="1"/>
    <x v="1"/>
    <x v="5"/>
    <x v="1"/>
    <x v="3"/>
    <x v="0"/>
    <s v="En redes sociales"/>
    <x v="0"/>
    <x v="3"/>
    <x v="23"/>
    <n v="1"/>
    <x v="2"/>
    <x v="0"/>
    <x v="2"/>
    <x v="0"/>
    <x v="4"/>
    <x v="1"/>
    <x v="2"/>
    <x v="1"/>
    <x v="6"/>
    <x v="10"/>
    <x v="32"/>
    <x v="3"/>
  </r>
  <r>
    <d v="2025-10-24T18:05:33"/>
    <x v="248"/>
    <x v="0"/>
    <x v="0"/>
    <x v="0"/>
    <x v="3"/>
    <x v="0"/>
    <x v="5"/>
    <x v="1"/>
    <x v="5"/>
    <x v="0"/>
    <s v="En redes sociales"/>
    <x v="1"/>
    <x v="1"/>
    <x v="3"/>
    <n v="2"/>
    <x v="4"/>
    <x v="3"/>
    <x v="1"/>
    <x v="2"/>
    <x v="4"/>
    <x v="2"/>
    <x v="1"/>
    <x v="0"/>
    <x v="34"/>
    <x v="7"/>
    <x v="30"/>
    <x v="3"/>
  </r>
  <r>
    <d v="2025-10-24T18:07:55"/>
    <x v="249"/>
    <x v="0"/>
    <x v="0"/>
    <x v="0"/>
    <x v="1"/>
    <x v="1"/>
    <x v="5"/>
    <x v="2"/>
    <x v="0"/>
    <x v="0"/>
    <s v="En redes sociales"/>
    <x v="4"/>
    <x v="4"/>
    <x v="17"/>
    <n v="2"/>
    <x v="2"/>
    <x v="0"/>
    <x v="2"/>
    <x v="0"/>
    <x v="4"/>
    <x v="1"/>
    <x v="2"/>
    <x v="3"/>
    <x v="29"/>
    <x v="40"/>
    <x v="0"/>
    <x v="3"/>
  </r>
  <r>
    <d v="2025-10-24T18:19:34"/>
    <x v="250"/>
    <x v="0"/>
    <x v="0"/>
    <x v="0"/>
    <x v="3"/>
    <x v="1"/>
    <x v="5"/>
    <x v="1"/>
    <x v="0"/>
    <x v="1"/>
    <s v="En esta encuesta 😅"/>
    <x v="1"/>
    <x v="1"/>
    <x v="1"/>
    <n v="0"/>
    <x v="4"/>
    <x v="3"/>
    <x v="35"/>
    <x v="1"/>
    <x v="1"/>
    <x v="3"/>
    <x v="0"/>
    <x v="0"/>
    <x v="26"/>
    <x v="7"/>
    <x v="39"/>
    <x v="3"/>
  </r>
  <r>
    <d v="2025-10-24T18:36:49"/>
    <x v="251"/>
    <x v="0"/>
    <x v="0"/>
    <x v="0"/>
    <x v="3"/>
    <x v="1"/>
    <x v="5"/>
    <x v="0"/>
    <x v="2"/>
    <x v="0"/>
    <s v="En redes sociales"/>
    <x v="1"/>
    <x v="1"/>
    <x v="1"/>
    <n v="2"/>
    <x v="3"/>
    <x v="2"/>
    <x v="11"/>
    <x v="2"/>
    <x v="0"/>
    <x v="3"/>
    <x v="1"/>
    <x v="0"/>
    <x v="2"/>
    <x v="7"/>
    <x v="4"/>
    <x v="3"/>
  </r>
  <r>
    <d v="2025-10-24T18:38:33"/>
    <x v="252"/>
    <x v="0"/>
    <x v="0"/>
    <x v="0"/>
    <x v="3"/>
    <x v="1"/>
    <x v="5"/>
    <x v="0"/>
    <x v="2"/>
    <x v="0"/>
    <s v="En otros medios de comunicación"/>
    <x v="2"/>
    <x v="0"/>
    <x v="24"/>
    <n v="0"/>
    <x v="0"/>
    <x v="1"/>
    <x v="21"/>
    <x v="1"/>
    <x v="5"/>
    <x v="4"/>
    <x v="2"/>
    <x v="3"/>
    <x v="16"/>
    <x v="77"/>
    <x v="39"/>
    <x v="3"/>
  </r>
  <r>
    <d v="2025-10-24T18:53:47"/>
    <x v="253"/>
    <x v="0"/>
    <x v="0"/>
    <x v="0"/>
    <x v="3"/>
    <x v="0"/>
    <x v="5"/>
    <x v="1"/>
    <x v="1"/>
    <x v="0"/>
    <s v="En cursos o conferencias"/>
    <x v="4"/>
    <x v="3"/>
    <x v="51"/>
    <n v="3"/>
    <x v="0"/>
    <x v="1"/>
    <x v="29"/>
    <x v="0"/>
    <x v="4"/>
    <x v="1"/>
    <x v="0"/>
    <x v="3"/>
    <x v="7"/>
    <x v="78"/>
    <x v="49"/>
    <x v="3"/>
  </r>
  <r>
    <d v="2025-10-24T19:24:59"/>
    <x v="254"/>
    <x v="0"/>
    <x v="0"/>
    <x v="0"/>
    <x v="3"/>
    <x v="0"/>
    <x v="5"/>
    <x v="0"/>
    <x v="1"/>
    <x v="0"/>
    <s v="En redes sociales"/>
    <x v="2"/>
    <x v="0"/>
    <x v="3"/>
    <n v="0"/>
    <x v="3"/>
    <x v="2"/>
    <x v="7"/>
    <x v="1"/>
    <x v="4"/>
    <x v="3"/>
    <x v="2"/>
    <x v="0"/>
    <x v="7"/>
    <x v="7"/>
    <x v="39"/>
    <x v="3"/>
  </r>
  <r>
    <d v="2025-10-24T19:35:59"/>
    <x v="255"/>
    <x v="0"/>
    <x v="0"/>
    <x v="0"/>
    <x v="3"/>
    <x v="1"/>
    <x v="5"/>
    <x v="0"/>
    <x v="2"/>
    <x v="0"/>
    <s v="En redes sociales"/>
    <x v="1"/>
    <x v="1"/>
    <x v="3"/>
    <n v="0"/>
    <x v="4"/>
    <x v="3"/>
    <x v="21"/>
    <x v="2"/>
    <x v="10"/>
    <x v="3"/>
    <x v="1"/>
    <x v="0"/>
    <x v="29"/>
    <x v="7"/>
    <x v="40"/>
    <x v="3"/>
  </r>
  <r>
    <d v="2025-10-24T19:48:47"/>
    <x v="256"/>
    <x v="0"/>
    <x v="0"/>
    <x v="0"/>
    <x v="3"/>
    <x v="0"/>
    <x v="5"/>
    <x v="0"/>
    <x v="2"/>
    <x v="0"/>
    <s v="En la universidad"/>
    <x v="2"/>
    <x v="1"/>
    <x v="24"/>
    <n v="0"/>
    <x v="3"/>
    <x v="2"/>
    <x v="1"/>
    <x v="2"/>
    <x v="4"/>
    <x v="3"/>
    <x v="0"/>
    <x v="0"/>
    <x v="7"/>
    <x v="7"/>
    <x v="16"/>
    <x v="3"/>
  </r>
  <r>
    <d v="2025-10-24T20:08:57"/>
    <x v="257"/>
    <x v="0"/>
    <x v="0"/>
    <x v="0"/>
    <x v="3"/>
    <x v="1"/>
    <x v="5"/>
    <x v="0"/>
    <x v="5"/>
    <x v="0"/>
    <s v="En redes sociales"/>
    <x v="2"/>
    <x v="1"/>
    <x v="3"/>
    <n v="0"/>
    <x v="1"/>
    <x v="3"/>
    <x v="15"/>
    <x v="2"/>
    <x v="5"/>
    <x v="3"/>
    <x v="3"/>
    <x v="1"/>
    <x v="14"/>
    <x v="7"/>
    <x v="41"/>
    <x v="3"/>
  </r>
  <r>
    <d v="2025-10-24T20:20:34"/>
    <x v="258"/>
    <x v="0"/>
    <x v="0"/>
    <x v="0"/>
    <x v="3"/>
    <x v="0"/>
    <x v="5"/>
    <x v="0"/>
    <x v="2"/>
    <x v="0"/>
    <s v="En redes sociales"/>
    <x v="2"/>
    <x v="0"/>
    <x v="24"/>
    <n v="0"/>
    <x v="3"/>
    <x v="2"/>
    <x v="1"/>
    <x v="2"/>
    <x v="8"/>
    <x v="0"/>
    <x v="0"/>
    <x v="0"/>
    <x v="16"/>
    <x v="79"/>
    <x v="45"/>
    <x v="3"/>
  </r>
  <r>
    <d v="2025-10-24T20:34:30"/>
    <x v="259"/>
    <x v="0"/>
    <x v="0"/>
    <x v="0"/>
    <x v="3"/>
    <x v="1"/>
    <x v="5"/>
    <x v="0"/>
    <x v="2"/>
    <x v="1"/>
    <s v="En esta encuesta 😅"/>
    <x v="1"/>
    <x v="1"/>
    <x v="1"/>
    <n v="0"/>
    <x v="1"/>
    <x v="1"/>
    <x v="1"/>
    <x v="1"/>
    <x v="4"/>
    <x v="3"/>
    <x v="2"/>
    <x v="0"/>
    <x v="16"/>
    <x v="7"/>
    <x v="16"/>
    <x v="3"/>
  </r>
  <r>
    <d v="2025-10-24T20:45:45"/>
    <x v="260"/>
    <x v="0"/>
    <x v="0"/>
    <x v="0"/>
    <x v="3"/>
    <x v="0"/>
    <x v="5"/>
    <x v="0"/>
    <x v="1"/>
    <x v="1"/>
    <s v="En esta encuesta 😅"/>
    <x v="1"/>
    <x v="1"/>
    <x v="1"/>
    <n v="0"/>
    <x v="4"/>
    <x v="3"/>
    <x v="21"/>
    <x v="2"/>
    <x v="6"/>
    <x v="2"/>
    <x v="1"/>
    <x v="0"/>
    <x v="0"/>
    <x v="7"/>
    <x v="8"/>
    <x v="3"/>
  </r>
  <r>
    <d v="2025-10-24T20:52:35"/>
    <x v="261"/>
    <x v="0"/>
    <x v="0"/>
    <x v="0"/>
    <x v="3"/>
    <x v="0"/>
    <x v="5"/>
    <x v="0"/>
    <x v="2"/>
    <x v="0"/>
    <s v="Por interés propio / autoaprendizaje"/>
    <x v="1"/>
    <x v="1"/>
    <x v="3"/>
    <n v="0"/>
    <x v="3"/>
    <x v="2"/>
    <x v="0"/>
    <x v="2"/>
    <x v="1"/>
    <x v="3"/>
    <x v="1"/>
    <x v="0"/>
    <x v="16"/>
    <x v="7"/>
    <x v="4"/>
    <x v="3"/>
  </r>
  <r>
    <d v="2025-10-24T21:01:21"/>
    <x v="262"/>
    <x v="0"/>
    <x v="0"/>
    <x v="0"/>
    <x v="3"/>
    <x v="1"/>
    <x v="5"/>
    <x v="0"/>
    <x v="0"/>
    <x v="0"/>
    <s v="En la universidad"/>
    <x v="0"/>
    <x v="0"/>
    <x v="1"/>
    <n v="5"/>
    <x v="3"/>
    <x v="2"/>
    <x v="1"/>
    <x v="2"/>
    <x v="6"/>
    <x v="3"/>
    <x v="2"/>
    <x v="0"/>
    <x v="3"/>
    <x v="7"/>
    <x v="57"/>
    <x v="3"/>
  </r>
  <r>
    <d v="2025-10-24T21:07:28"/>
    <x v="263"/>
    <x v="0"/>
    <x v="0"/>
    <x v="0"/>
    <x v="0"/>
    <x v="1"/>
    <x v="5"/>
    <x v="0"/>
    <x v="2"/>
    <x v="0"/>
    <s v="En redes sociales"/>
    <x v="1"/>
    <x v="3"/>
    <x v="5"/>
    <n v="0"/>
    <x v="0"/>
    <x v="3"/>
    <x v="1"/>
    <x v="1"/>
    <x v="1"/>
    <x v="0"/>
    <x v="1"/>
    <x v="0"/>
    <x v="0"/>
    <x v="8"/>
    <x v="8"/>
    <x v="3"/>
  </r>
  <r>
    <d v="2025-10-24T21:40:04"/>
    <x v="264"/>
    <x v="0"/>
    <x v="0"/>
    <x v="0"/>
    <x v="0"/>
    <x v="1"/>
    <x v="5"/>
    <x v="0"/>
    <x v="2"/>
    <x v="0"/>
    <s v="Por interés propio / autoaprendizaje"/>
    <x v="3"/>
    <x v="2"/>
    <x v="35"/>
    <n v="5"/>
    <x v="2"/>
    <x v="0"/>
    <x v="26"/>
    <x v="4"/>
    <x v="1"/>
    <x v="1"/>
    <x v="4"/>
    <x v="1"/>
    <x v="7"/>
    <x v="80"/>
    <x v="36"/>
    <x v="3"/>
  </r>
  <r>
    <d v="2025-10-24T22:10:00"/>
    <x v="265"/>
    <x v="0"/>
    <x v="0"/>
    <x v="0"/>
    <x v="0"/>
    <x v="1"/>
    <x v="5"/>
    <x v="0"/>
    <x v="2"/>
    <x v="0"/>
    <s v="En cursos o conferencias"/>
    <x v="2"/>
    <x v="2"/>
    <x v="17"/>
    <n v="3"/>
    <x v="2"/>
    <x v="1"/>
    <x v="10"/>
    <x v="3"/>
    <x v="1"/>
    <x v="1"/>
    <x v="3"/>
    <x v="1"/>
    <x v="7"/>
    <x v="40"/>
    <x v="16"/>
    <x v="3"/>
  </r>
  <r>
    <d v="2025-10-24T22:19:59"/>
    <x v="266"/>
    <x v="0"/>
    <x v="0"/>
    <x v="0"/>
    <x v="0"/>
    <x v="1"/>
    <x v="5"/>
    <x v="0"/>
    <x v="2"/>
    <x v="0"/>
    <s v="En redes sociales"/>
    <x v="0"/>
    <x v="2"/>
    <x v="32"/>
    <n v="2"/>
    <x v="1"/>
    <x v="4"/>
    <x v="27"/>
    <x v="1"/>
    <x v="5"/>
    <x v="4"/>
    <x v="0"/>
    <x v="1"/>
    <x v="7"/>
    <x v="81"/>
    <x v="9"/>
    <x v="3"/>
  </r>
  <r>
    <d v="2025-10-24T22:31:23"/>
    <x v="267"/>
    <x v="0"/>
    <x v="0"/>
    <x v="0"/>
    <x v="0"/>
    <x v="1"/>
    <x v="5"/>
    <x v="0"/>
    <x v="2"/>
    <x v="0"/>
    <s v="Por interés propio / autoaprendizaje"/>
    <x v="1"/>
    <x v="2"/>
    <x v="52"/>
    <n v="6"/>
    <x v="2"/>
    <x v="0"/>
    <x v="26"/>
    <x v="4"/>
    <x v="6"/>
    <x v="1"/>
    <x v="3"/>
    <x v="1"/>
    <x v="28"/>
    <x v="69"/>
    <x v="49"/>
    <x v="3"/>
  </r>
  <r>
    <d v="2025-10-24T22:36:11"/>
    <x v="268"/>
    <x v="0"/>
    <x v="0"/>
    <x v="0"/>
    <x v="3"/>
    <x v="1"/>
    <x v="5"/>
    <x v="1"/>
    <x v="0"/>
    <x v="1"/>
    <s v="En esta encuesta 😅"/>
    <x v="1"/>
    <x v="1"/>
    <x v="1"/>
    <n v="0"/>
    <x v="4"/>
    <x v="3"/>
    <x v="7"/>
    <x v="2"/>
    <x v="11"/>
    <x v="5"/>
    <x v="0"/>
    <x v="0"/>
    <x v="28"/>
    <x v="7"/>
    <x v="26"/>
    <x v="3"/>
  </r>
  <r>
    <d v="2025-10-21T23:46:40"/>
    <x v="269"/>
    <x v="0"/>
    <x v="0"/>
    <x v="0"/>
    <x v="0"/>
    <x v="1"/>
    <x v="6"/>
    <x v="0"/>
    <x v="2"/>
    <x v="0"/>
    <s v="Por interés propio / autoaprendizaje"/>
    <x v="2"/>
    <x v="4"/>
    <x v="50"/>
    <n v="1"/>
    <x v="2"/>
    <x v="0"/>
    <x v="29"/>
    <x v="3"/>
    <x v="11"/>
    <x v="1"/>
    <x v="2"/>
    <x v="3"/>
    <x v="34"/>
    <x v="78"/>
    <x v="19"/>
    <x v="0"/>
  </r>
  <r>
    <d v="2025-10-22T04:26:58"/>
    <x v="270"/>
    <x v="0"/>
    <x v="0"/>
    <x v="0"/>
    <x v="1"/>
    <x v="1"/>
    <x v="6"/>
    <x v="0"/>
    <x v="2"/>
    <x v="0"/>
    <s v="En la universidad"/>
    <x v="2"/>
    <x v="0"/>
    <x v="4"/>
    <n v="0"/>
    <x v="0"/>
    <x v="4"/>
    <x v="6"/>
    <x v="4"/>
    <x v="9"/>
    <x v="1"/>
    <x v="1"/>
    <x v="1"/>
    <x v="10"/>
    <x v="33"/>
    <x v="1"/>
    <x v="1"/>
  </r>
  <r>
    <d v="2025-10-23T02:27:52"/>
    <x v="271"/>
    <x v="0"/>
    <x v="0"/>
    <x v="0"/>
    <x v="0"/>
    <x v="1"/>
    <x v="6"/>
    <x v="0"/>
    <x v="2"/>
    <x v="1"/>
    <s v="En esta encuesta 😅"/>
    <x v="1"/>
    <x v="0"/>
    <x v="1"/>
    <n v="0"/>
    <x v="1"/>
    <x v="1"/>
    <x v="0"/>
    <x v="2"/>
    <x v="10"/>
    <x v="2"/>
    <x v="1"/>
    <x v="0"/>
    <x v="34"/>
    <x v="44"/>
    <x v="22"/>
    <x v="2"/>
  </r>
  <r>
    <d v="2025-10-23T08:58:25"/>
    <x v="272"/>
    <x v="0"/>
    <x v="0"/>
    <x v="0"/>
    <x v="2"/>
    <x v="1"/>
    <x v="6"/>
    <x v="0"/>
    <x v="3"/>
    <x v="0"/>
    <s v="En redes sociales"/>
    <x v="0"/>
    <x v="0"/>
    <x v="36"/>
    <n v="1"/>
    <x v="2"/>
    <x v="2"/>
    <x v="27"/>
    <x v="3"/>
    <x v="2"/>
    <x v="1"/>
    <x v="2"/>
    <x v="0"/>
    <x v="19"/>
    <x v="82"/>
    <x v="43"/>
    <x v="2"/>
  </r>
  <r>
    <d v="2025-10-23T09:39:40"/>
    <x v="273"/>
    <x v="0"/>
    <x v="0"/>
    <x v="0"/>
    <x v="2"/>
    <x v="1"/>
    <x v="6"/>
    <x v="0"/>
    <x v="5"/>
    <x v="0"/>
    <s v="En la universidad"/>
    <x v="0"/>
    <x v="0"/>
    <x v="37"/>
    <n v="1"/>
    <x v="2"/>
    <x v="1"/>
    <x v="4"/>
    <x v="0"/>
    <x v="4"/>
    <x v="1"/>
    <x v="0"/>
    <x v="0"/>
    <x v="3"/>
    <x v="49"/>
    <x v="45"/>
    <x v="2"/>
  </r>
  <r>
    <d v="2025-10-23T10:00:36"/>
    <x v="274"/>
    <x v="0"/>
    <x v="0"/>
    <x v="0"/>
    <x v="2"/>
    <x v="1"/>
    <x v="6"/>
    <x v="0"/>
    <x v="4"/>
    <x v="0"/>
    <s v="Por interés propio / autoaprendizaje"/>
    <x v="2"/>
    <x v="3"/>
    <x v="24"/>
    <n v="2"/>
    <x v="2"/>
    <x v="2"/>
    <x v="22"/>
    <x v="3"/>
    <x v="1"/>
    <x v="6"/>
    <x v="0"/>
    <x v="2"/>
    <x v="11"/>
    <x v="83"/>
    <x v="0"/>
    <x v="2"/>
  </r>
  <r>
    <d v="2025-10-23T10:40:05"/>
    <x v="275"/>
    <x v="0"/>
    <x v="0"/>
    <x v="0"/>
    <x v="2"/>
    <x v="1"/>
    <x v="6"/>
    <x v="0"/>
    <x v="5"/>
    <x v="0"/>
    <s v="En otros medios de comunicación"/>
    <x v="0"/>
    <x v="3"/>
    <x v="11"/>
    <n v="1"/>
    <x v="2"/>
    <x v="4"/>
    <x v="13"/>
    <x v="3"/>
    <x v="1"/>
    <x v="0"/>
    <x v="2"/>
    <x v="1"/>
    <x v="10"/>
    <x v="4"/>
    <x v="33"/>
    <x v="2"/>
  </r>
  <r>
    <d v="2025-10-23T12:38:52"/>
    <x v="276"/>
    <x v="0"/>
    <x v="0"/>
    <x v="0"/>
    <x v="2"/>
    <x v="1"/>
    <x v="6"/>
    <x v="0"/>
    <x v="4"/>
    <x v="0"/>
    <s v="En la universidad"/>
    <x v="0"/>
    <x v="0"/>
    <x v="53"/>
    <n v="1"/>
    <x v="0"/>
    <x v="2"/>
    <x v="14"/>
    <x v="0"/>
    <x v="6"/>
    <x v="0"/>
    <x v="0"/>
    <x v="0"/>
    <x v="29"/>
    <x v="11"/>
    <x v="56"/>
    <x v="2"/>
  </r>
  <r>
    <d v="2025-10-23T14:09:44"/>
    <x v="277"/>
    <x v="0"/>
    <x v="0"/>
    <x v="0"/>
    <x v="2"/>
    <x v="1"/>
    <x v="6"/>
    <x v="0"/>
    <x v="1"/>
    <x v="0"/>
    <s v="Por interés propio / autoaprendizaje"/>
    <x v="1"/>
    <x v="1"/>
    <x v="3"/>
    <n v="0"/>
    <x v="4"/>
    <x v="3"/>
    <x v="6"/>
    <x v="1"/>
    <x v="0"/>
    <x v="0"/>
    <x v="1"/>
    <x v="0"/>
    <x v="12"/>
    <x v="12"/>
    <x v="18"/>
    <x v="2"/>
  </r>
  <r>
    <d v="2025-10-23T14:30:13"/>
    <x v="278"/>
    <x v="0"/>
    <x v="0"/>
    <x v="0"/>
    <x v="2"/>
    <x v="0"/>
    <x v="6"/>
    <x v="0"/>
    <x v="4"/>
    <x v="0"/>
    <s v="En otros medios de comunicación"/>
    <x v="1"/>
    <x v="1"/>
    <x v="3"/>
    <n v="0"/>
    <x v="1"/>
    <x v="1"/>
    <x v="14"/>
    <x v="0"/>
    <x v="2"/>
    <x v="1"/>
    <x v="0"/>
    <x v="2"/>
    <x v="3"/>
    <x v="84"/>
    <x v="18"/>
    <x v="2"/>
  </r>
  <r>
    <d v="2025-10-23T16:00:27"/>
    <x v="279"/>
    <x v="0"/>
    <x v="0"/>
    <x v="0"/>
    <x v="0"/>
    <x v="1"/>
    <x v="6"/>
    <x v="2"/>
    <x v="2"/>
    <x v="0"/>
    <s v="Por interés propio / autoaprendizaje"/>
    <x v="3"/>
    <x v="2"/>
    <x v="54"/>
    <n v="2"/>
    <x v="2"/>
    <x v="0"/>
    <x v="26"/>
    <x v="4"/>
    <x v="8"/>
    <x v="1"/>
    <x v="0"/>
    <x v="1"/>
    <x v="7"/>
    <x v="78"/>
    <x v="18"/>
    <x v="2"/>
  </r>
  <r>
    <d v="2025-10-23T17:35:06"/>
    <x v="280"/>
    <x v="0"/>
    <x v="0"/>
    <x v="0"/>
    <x v="2"/>
    <x v="0"/>
    <x v="6"/>
    <x v="0"/>
    <x v="1"/>
    <x v="0"/>
    <s v="Por interés propio / autoaprendizaje"/>
    <x v="2"/>
    <x v="1"/>
    <x v="37"/>
    <n v="1"/>
    <x v="0"/>
    <x v="1"/>
    <x v="16"/>
    <x v="1"/>
    <x v="4"/>
    <x v="4"/>
    <x v="0"/>
    <x v="1"/>
    <x v="12"/>
    <x v="85"/>
    <x v="12"/>
    <x v="2"/>
  </r>
  <r>
    <d v="2025-10-23T19:39:27"/>
    <x v="281"/>
    <x v="0"/>
    <x v="0"/>
    <x v="0"/>
    <x v="0"/>
    <x v="1"/>
    <x v="6"/>
    <x v="0"/>
    <x v="2"/>
    <x v="0"/>
    <s v="En cursos o conferencias"/>
    <x v="0"/>
    <x v="4"/>
    <x v="50"/>
    <n v="3"/>
    <x v="0"/>
    <x v="0"/>
    <x v="26"/>
    <x v="0"/>
    <x v="14"/>
    <x v="4"/>
    <x v="1"/>
    <x v="0"/>
    <x v="7"/>
    <x v="8"/>
    <x v="44"/>
    <x v="2"/>
  </r>
  <r>
    <d v="2025-10-24T09:54:21"/>
    <x v="282"/>
    <x v="0"/>
    <x v="0"/>
    <x v="0"/>
    <x v="1"/>
    <x v="1"/>
    <x v="6"/>
    <x v="2"/>
    <x v="0"/>
    <x v="0"/>
    <s v="En la universidad"/>
    <x v="2"/>
    <x v="0"/>
    <x v="23"/>
    <n v="0"/>
    <x v="2"/>
    <x v="0"/>
    <x v="0"/>
    <x v="0"/>
    <x v="4"/>
    <x v="1"/>
    <x v="1"/>
    <x v="1"/>
    <x v="34"/>
    <x v="33"/>
    <x v="2"/>
    <x v="3"/>
  </r>
  <r>
    <d v="2025-10-24T10:10:36"/>
    <x v="283"/>
    <x v="0"/>
    <x v="0"/>
    <x v="0"/>
    <x v="1"/>
    <x v="1"/>
    <x v="6"/>
    <x v="1"/>
    <x v="1"/>
    <x v="0"/>
    <s v="Por interés propio / autoaprendizaje"/>
    <x v="0"/>
    <x v="3"/>
    <x v="32"/>
    <n v="0"/>
    <x v="2"/>
    <x v="0"/>
    <x v="25"/>
    <x v="3"/>
    <x v="9"/>
    <x v="1"/>
    <x v="0"/>
    <x v="1"/>
    <x v="7"/>
    <x v="10"/>
    <x v="30"/>
    <x v="3"/>
  </r>
  <r>
    <d v="2025-10-24T11:10:57"/>
    <x v="284"/>
    <x v="0"/>
    <x v="0"/>
    <x v="0"/>
    <x v="1"/>
    <x v="0"/>
    <x v="6"/>
    <x v="0"/>
    <x v="1"/>
    <x v="0"/>
    <s v="En redes sociales"/>
    <x v="2"/>
    <x v="0"/>
    <x v="24"/>
    <n v="0"/>
    <x v="0"/>
    <x v="4"/>
    <x v="0"/>
    <x v="1"/>
    <x v="1"/>
    <x v="3"/>
    <x v="2"/>
    <x v="1"/>
    <x v="13"/>
    <x v="1"/>
    <x v="15"/>
    <x v="3"/>
  </r>
  <r>
    <d v="2025-10-24T11:46:39"/>
    <x v="285"/>
    <x v="0"/>
    <x v="0"/>
    <x v="0"/>
    <x v="1"/>
    <x v="1"/>
    <x v="6"/>
    <x v="2"/>
    <x v="0"/>
    <x v="0"/>
    <s v="En la universidad"/>
    <x v="4"/>
    <x v="3"/>
    <x v="4"/>
    <n v="2"/>
    <x v="2"/>
    <x v="0"/>
    <x v="29"/>
    <x v="0"/>
    <x v="6"/>
    <x v="1"/>
    <x v="2"/>
    <x v="3"/>
    <x v="6"/>
    <x v="40"/>
    <x v="2"/>
    <x v="3"/>
  </r>
  <r>
    <d v="2025-10-24T12:16:31"/>
    <x v="286"/>
    <x v="0"/>
    <x v="0"/>
    <x v="0"/>
    <x v="1"/>
    <x v="1"/>
    <x v="6"/>
    <x v="2"/>
    <x v="0"/>
    <x v="0"/>
    <s v="En la universidad"/>
    <x v="4"/>
    <x v="4"/>
    <x v="17"/>
    <n v="1"/>
    <x v="2"/>
    <x v="0"/>
    <x v="0"/>
    <x v="3"/>
    <x v="6"/>
    <x v="1"/>
    <x v="2"/>
    <x v="3"/>
    <x v="10"/>
    <x v="40"/>
    <x v="7"/>
    <x v="3"/>
  </r>
  <r>
    <d v="2025-10-24T12:52:37"/>
    <x v="287"/>
    <x v="0"/>
    <x v="0"/>
    <x v="0"/>
    <x v="1"/>
    <x v="1"/>
    <x v="6"/>
    <x v="0"/>
    <x v="0"/>
    <x v="0"/>
    <s v="En la universidad"/>
    <x v="4"/>
    <x v="3"/>
    <x v="4"/>
    <n v="1"/>
    <x v="2"/>
    <x v="0"/>
    <x v="15"/>
    <x v="0"/>
    <x v="4"/>
    <x v="1"/>
    <x v="2"/>
    <x v="3"/>
    <x v="29"/>
    <x v="40"/>
    <x v="0"/>
    <x v="3"/>
  </r>
  <r>
    <d v="2025-10-24T13:14:47"/>
    <x v="288"/>
    <x v="0"/>
    <x v="0"/>
    <x v="0"/>
    <x v="1"/>
    <x v="1"/>
    <x v="6"/>
    <x v="3"/>
    <x v="3"/>
    <x v="0"/>
    <s v="En la universidad"/>
    <x v="4"/>
    <x v="3"/>
    <x v="4"/>
    <n v="1"/>
    <x v="2"/>
    <x v="0"/>
    <x v="22"/>
    <x v="0"/>
    <x v="6"/>
    <x v="1"/>
    <x v="2"/>
    <x v="3"/>
    <x v="3"/>
    <x v="40"/>
    <x v="6"/>
    <x v="3"/>
  </r>
  <r>
    <d v="2025-10-24T13:41:50"/>
    <x v="289"/>
    <x v="0"/>
    <x v="0"/>
    <x v="0"/>
    <x v="1"/>
    <x v="1"/>
    <x v="6"/>
    <x v="2"/>
    <x v="0"/>
    <x v="0"/>
    <s v="En la universidad"/>
    <x v="4"/>
    <x v="3"/>
    <x v="17"/>
    <n v="2"/>
    <x v="2"/>
    <x v="0"/>
    <x v="0"/>
    <x v="0"/>
    <x v="4"/>
    <x v="1"/>
    <x v="2"/>
    <x v="3"/>
    <x v="19"/>
    <x v="33"/>
    <x v="15"/>
    <x v="3"/>
  </r>
  <r>
    <d v="2025-10-24T14:14:37"/>
    <x v="290"/>
    <x v="0"/>
    <x v="0"/>
    <x v="0"/>
    <x v="1"/>
    <x v="0"/>
    <x v="6"/>
    <x v="0"/>
    <x v="0"/>
    <x v="0"/>
    <s v="Por interés propio / autoaprendizaje"/>
    <x v="0"/>
    <x v="0"/>
    <x v="6"/>
    <n v="1"/>
    <x v="3"/>
    <x v="2"/>
    <x v="1"/>
    <x v="1"/>
    <x v="0"/>
    <x v="1"/>
    <x v="0"/>
    <x v="0"/>
    <x v="6"/>
    <x v="7"/>
    <x v="39"/>
    <x v="3"/>
  </r>
  <r>
    <d v="2025-10-24T17:37:17"/>
    <x v="291"/>
    <x v="0"/>
    <x v="0"/>
    <x v="0"/>
    <x v="1"/>
    <x v="0"/>
    <x v="6"/>
    <x v="1"/>
    <x v="1"/>
    <x v="0"/>
    <s v="En la universidad"/>
    <x v="0"/>
    <x v="3"/>
    <x v="6"/>
    <n v="1"/>
    <x v="2"/>
    <x v="0"/>
    <x v="15"/>
    <x v="0"/>
    <x v="4"/>
    <x v="4"/>
    <x v="2"/>
    <x v="1"/>
    <x v="6"/>
    <x v="10"/>
    <x v="12"/>
    <x v="3"/>
  </r>
  <r>
    <d v="2025-10-24T17:42:28"/>
    <x v="292"/>
    <x v="0"/>
    <x v="0"/>
    <x v="0"/>
    <x v="3"/>
    <x v="1"/>
    <x v="6"/>
    <x v="0"/>
    <x v="0"/>
    <x v="1"/>
    <s v="En esta encuesta 😅"/>
    <x v="1"/>
    <x v="1"/>
    <x v="1"/>
    <n v="0"/>
    <x v="1"/>
    <x v="1"/>
    <x v="0"/>
    <x v="1"/>
    <x v="5"/>
    <x v="0"/>
    <x v="2"/>
    <x v="1"/>
    <x v="3"/>
    <x v="33"/>
    <x v="58"/>
    <x v="3"/>
  </r>
  <r>
    <d v="2025-10-24T17:58:00"/>
    <x v="293"/>
    <x v="0"/>
    <x v="0"/>
    <x v="0"/>
    <x v="3"/>
    <x v="1"/>
    <x v="6"/>
    <x v="0"/>
    <x v="5"/>
    <x v="0"/>
    <s v="En redes sociales"/>
    <x v="2"/>
    <x v="3"/>
    <x v="33"/>
    <n v="0"/>
    <x v="1"/>
    <x v="2"/>
    <x v="10"/>
    <x v="1"/>
    <x v="2"/>
    <x v="2"/>
    <x v="1"/>
    <x v="0"/>
    <x v="16"/>
    <x v="81"/>
    <x v="56"/>
    <x v="3"/>
  </r>
  <r>
    <d v="2025-10-24T18:00:48"/>
    <x v="294"/>
    <x v="0"/>
    <x v="0"/>
    <x v="0"/>
    <x v="3"/>
    <x v="1"/>
    <x v="6"/>
    <x v="0"/>
    <x v="1"/>
    <x v="0"/>
    <s v="En cursos o conferencias"/>
    <x v="0"/>
    <x v="4"/>
    <x v="50"/>
    <n v="2"/>
    <x v="2"/>
    <x v="0"/>
    <x v="15"/>
    <x v="0"/>
    <x v="6"/>
    <x v="1"/>
    <x v="2"/>
    <x v="1"/>
    <x v="7"/>
    <x v="86"/>
    <x v="39"/>
    <x v="3"/>
  </r>
  <r>
    <d v="2025-10-24T18:18:39"/>
    <x v="295"/>
    <x v="0"/>
    <x v="0"/>
    <x v="0"/>
    <x v="1"/>
    <x v="1"/>
    <x v="6"/>
    <x v="1"/>
    <x v="2"/>
    <x v="0"/>
    <s v="En la universidad"/>
    <x v="0"/>
    <x v="3"/>
    <x v="6"/>
    <n v="1"/>
    <x v="2"/>
    <x v="0"/>
    <x v="1"/>
    <x v="0"/>
    <x v="1"/>
    <x v="4"/>
    <x v="2"/>
    <x v="1"/>
    <x v="13"/>
    <x v="10"/>
    <x v="12"/>
    <x v="3"/>
  </r>
  <r>
    <d v="2025-10-24T18:28:16"/>
    <x v="296"/>
    <x v="0"/>
    <x v="0"/>
    <x v="0"/>
    <x v="3"/>
    <x v="0"/>
    <x v="6"/>
    <x v="0"/>
    <x v="2"/>
    <x v="1"/>
    <s v="En esta encuesta 😅"/>
    <x v="1"/>
    <x v="1"/>
    <x v="1"/>
    <n v="0"/>
    <x v="4"/>
    <x v="3"/>
    <x v="36"/>
    <x v="2"/>
    <x v="2"/>
    <x v="5"/>
    <x v="1"/>
    <x v="1"/>
    <x v="14"/>
    <x v="7"/>
    <x v="10"/>
    <x v="3"/>
  </r>
  <r>
    <d v="2025-10-24T18:49:23"/>
    <x v="297"/>
    <x v="0"/>
    <x v="0"/>
    <x v="0"/>
    <x v="3"/>
    <x v="1"/>
    <x v="6"/>
    <x v="1"/>
    <x v="2"/>
    <x v="0"/>
    <s v="En cursos o conferencias"/>
    <x v="4"/>
    <x v="4"/>
    <x v="42"/>
    <n v="3"/>
    <x v="2"/>
    <x v="0"/>
    <x v="25"/>
    <x v="3"/>
    <x v="5"/>
    <x v="3"/>
    <x v="2"/>
    <x v="0"/>
    <x v="2"/>
    <x v="87"/>
    <x v="19"/>
    <x v="3"/>
  </r>
  <r>
    <d v="2025-10-24T19:01:32"/>
    <x v="298"/>
    <x v="0"/>
    <x v="0"/>
    <x v="0"/>
    <x v="3"/>
    <x v="1"/>
    <x v="6"/>
    <x v="0"/>
    <x v="2"/>
    <x v="1"/>
    <s v="En esta encuesta 😅"/>
    <x v="1"/>
    <x v="1"/>
    <x v="1"/>
    <n v="0"/>
    <x v="4"/>
    <x v="3"/>
    <x v="37"/>
    <x v="2"/>
    <x v="1"/>
    <x v="6"/>
    <x v="1"/>
    <x v="0"/>
    <x v="37"/>
    <x v="7"/>
    <x v="15"/>
    <x v="3"/>
  </r>
  <r>
    <d v="2025-10-24T19:32:30"/>
    <x v="299"/>
    <x v="0"/>
    <x v="0"/>
    <x v="0"/>
    <x v="3"/>
    <x v="1"/>
    <x v="6"/>
    <x v="0"/>
    <x v="2"/>
    <x v="0"/>
    <s v="En redes sociales"/>
    <x v="2"/>
    <x v="1"/>
    <x v="3"/>
    <n v="0"/>
    <x v="3"/>
    <x v="2"/>
    <x v="1"/>
    <x v="2"/>
    <x v="5"/>
    <x v="3"/>
    <x v="0"/>
    <x v="0"/>
    <x v="23"/>
    <x v="7"/>
    <x v="44"/>
    <x v="3"/>
  </r>
  <r>
    <d v="2025-10-24T19:43:54"/>
    <x v="300"/>
    <x v="0"/>
    <x v="0"/>
    <x v="0"/>
    <x v="3"/>
    <x v="1"/>
    <x v="6"/>
    <x v="0"/>
    <x v="1"/>
    <x v="0"/>
    <s v="En redes sociales"/>
    <x v="2"/>
    <x v="1"/>
    <x v="3"/>
    <n v="0"/>
    <x v="3"/>
    <x v="3"/>
    <x v="1"/>
    <x v="2"/>
    <x v="3"/>
    <x v="1"/>
    <x v="1"/>
    <x v="0"/>
    <x v="7"/>
    <x v="7"/>
    <x v="16"/>
    <x v="3"/>
  </r>
  <r>
    <d v="2025-10-24T19:46:28"/>
    <x v="301"/>
    <x v="0"/>
    <x v="0"/>
    <x v="0"/>
    <x v="3"/>
    <x v="1"/>
    <x v="6"/>
    <x v="0"/>
    <x v="2"/>
    <x v="0"/>
    <s v="En redes sociales"/>
    <x v="2"/>
    <x v="1"/>
    <x v="3"/>
    <n v="0"/>
    <x v="3"/>
    <x v="2"/>
    <x v="1"/>
    <x v="2"/>
    <x v="5"/>
    <x v="4"/>
    <x v="2"/>
    <x v="0"/>
    <x v="7"/>
    <x v="7"/>
    <x v="40"/>
    <x v="3"/>
  </r>
  <r>
    <d v="2025-10-24T20:24:00"/>
    <x v="302"/>
    <x v="0"/>
    <x v="0"/>
    <x v="0"/>
    <x v="3"/>
    <x v="1"/>
    <x v="6"/>
    <x v="0"/>
    <x v="2"/>
    <x v="1"/>
    <s v="En esta encuesta 😅"/>
    <x v="1"/>
    <x v="1"/>
    <x v="1"/>
    <n v="0"/>
    <x v="1"/>
    <x v="1"/>
    <x v="8"/>
    <x v="2"/>
    <x v="6"/>
    <x v="4"/>
    <x v="2"/>
    <x v="1"/>
    <x v="28"/>
    <x v="7"/>
    <x v="16"/>
    <x v="3"/>
  </r>
  <r>
    <d v="2025-10-24T20:41:24"/>
    <x v="303"/>
    <x v="0"/>
    <x v="0"/>
    <x v="0"/>
    <x v="3"/>
    <x v="0"/>
    <x v="6"/>
    <x v="0"/>
    <x v="3"/>
    <x v="1"/>
    <s v="En esta encuesta 😅"/>
    <x v="1"/>
    <x v="1"/>
    <x v="1"/>
    <n v="0"/>
    <x v="3"/>
    <x v="2"/>
    <x v="1"/>
    <x v="1"/>
    <x v="5"/>
    <x v="3"/>
    <x v="2"/>
    <x v="1"/>
    <x v="23"/>
    <x v="7"/>
    <x v="41"/>
    <x v="3"/>
  </r>
  <r>
    <d v="2025-10-24T20:59:29"/>
    <x v="304"/>
    <x v="0"/>
    <x v="0"/>
    <x v="0"/>
    <x v="3"/>
    <x v="3"/>
    <x v="6"/>
    <x v="0"/>
    <x v="4"/>
    <x v="1"/>
    <s v="En esta encuesta 😅"/>
    <x v="1"/>
    <x v="1"/>
    <x v="1"/>
    <n v="0"/>
    <x v="4"/>
    <x v="3"/>
    <x v="7"/>
    <x v="2"/>
    <x v="3"/>
    <x v="4"/>
    <x v="1"/>
    <x v="0"/>
    <x v="0"/>
    <x v="7"/>
    <x v="48"/>
    <x v="3"/>
  </r>
  <r>
    <d v="2025-10-24T21:13:00"/>
    <x v="305"/>
    <x v="0"/>
    <x v="0"/>
    <x v="0"/>
    <x v="0"/>
    <x v="0"/>
    <x v="6"/>
    <x v="0"/>
    <x v="2"/>
    <x v="0"/>
    <s v="Por interés propio / autoaprendizaje"/>
    <x v="1"/>
    <x v="2"/>
    <x v="55"/>
    <n v="4"/>
    <x v="2"/>
    <x v="0"/>
    <x v="16"/>
    <x v="4"/>
    <x v="6"/>
    <x v="1"/>
    <x v="2"/>
    <x v="1"/>
    <x v="7"/>
    <x v="40"/>
    <x v="52"/>
    <x v="3"/>
  </r>
  <r>
    <d v="2025-10-24T21:45:11"/>
    <x v="306"/>
    <x v="0"/>
    <x v="0"/>
    <x v="0"/>
    <x v="0"/>
    <x v="0"/>
    <x v="6"/>
    <x v="0"/>
    <x v="2"/>
    <x v="0"/>
    <s v="En redes sociales"/>
    <x v="0"/>
    <x v="3"/>
    <x v="5"/>
    <n v="0"/>
    <x v="1"/>
    <x v="3"/>
    <x v="15"/>
    <x v="1"/>
    <x v="12"/>
    <x v="4"/>
    <x v="0"/>
    <x v="0"/>
    <x v="18"/>
    <x v="1"/>
    <x v="59"/>
    <x v="3"/>
  </r>
  <r>
    <d v="2025-10-24T22:15:47"/>
    <x v="307"/>
    <x v="0"/>
    <x v="0"/>
    <x v="0"/>
    <x v="0"/>
    <x v="0"/>
    <x v="6"/>
    <x v="0"/>
    <x v="2"/>
    <x v="0"/>
    <s v="En la universidad"/>
    <x v="1"/>
    <x v="0"/>
    <x v="24"/>
    <n v="1"/>
    <x v="1"/>
    <x v="4"/>
    <x v="14"/>
    <x v="1"/>
    <x v="8"/>
    <x v="4"/>
    <x v="1"/>
    <x v="0"/>
    <x v="32"/>
    <x v="33"/>
    <x v="20"/>
    <x v="3"/>
  </r>
  <r>
    <d v="2025-10-24T22:30:13"/>
    <x v="308"/>
    <x v="0"/>
    <x v="0"/>
    <x v="0"/>
    <x v="3"/>
    <x v="1"/>
    <x v="6"/>
    <x v="1"/>
    <x v="2"/>
    <x v="1"/>
    <s v="En esta encuesta 😅"/>
    <x v="1"/>
    <x v="1"/>
    <x v="1"/>
    <n v="0"/>
    <x v="3"/>
    <x v="3"/>
    <x v="11"/>
    <x v="2"/>
    <x v="6"/>
    <x v="4"/>
    <x v="0"/>
    <x v="0"/>
    <x v="28"/>
    <x v="7"/>
    <x v="52"/>
    <x v="3"/>
  </r>
  <r>
    <d v="2025-10-21T23:28:12"/>
    <x v="309"/>
    <x v="0"/>
    <x v="0"/>
    <x v="0"/>
    <x v="0"/>
    <x v="1"/>
    <x v="7"/>
    <x v="0"/>
    <x v="2"/>
    <x v="0"/>
    <s v="En redes sociales"/>
    <x v="3"/>
    <x v="2"/>
    <x v="56"/>
    <n v="2"/>
    <x v="2"/>
    <x v="0"/>
    <x v="1"/>
    <x v="4"/>
    <x v="14"/>
    <x v="0"/>
    <x v="1"/>
    <x v="0"/>
    <x v="0"/>
    <x v="88"/>
    <x v="21"/>
    <x v="0"/>
  </r>
  <r>
    <d v="2025-10-22T07:07:32"/>
    <x v="310"/>
    <x v="0"/>
    <x v="0"/>
    <x v="0"/>
    <x v="2"/>
    <x v="1"/>
    <x v="7"/>
    <x v="0"/>
    <x v="1"/>
    <x v="0"/>
    <s v="En la universidad"/>
    <x v="0"/>
    <x v="0"/>
    <x v="57"/>
    <n v="0"/>
    <x v="2"/>
    <x v="0"/>
    <x v="10"/>
    <x v="0"/>
    <x v="4"/>
    <x v="1"/>
    <x v="2"/>
    <x v="3"/>
    <x v="7"/>
    <x v="82"/>
    <x v="18"/>
    <x v="1"/>
  </r>
  <r>
    <d v="2025-10-22T07:21:03"/>
    <x v="311"/>
    <x v="0"/>
    <x v="0"/>
    <x v="0"/>
    <x v="2"/>
    <x v="1"/>
    <x v="7"/>
    <x v="0"/>
    <x v="0"/>
    <x v="0"/>
    <s v="En la universidad"/>
    <x v="0"/>
    <x v="0"/>
    <x v="31"/>
    <n v="0"/>
    <x v="2"/>
    <x v="1"/>
    <x v="10"/>
    <x v="3"/>
    <x v="0"/>
    <x v="1"/>
    <x v="0"/>
    <x v="1"/>
    <x v="12"/>
    <x v="89"/>
    <x v="2"/>
    <x v="1"/>
  </r>
  <r>
    <d v="2025-10-23T09:13:05"/>
    <x v="312"/>
    <x v="0"/>
    <x v="0"/>
    <x v="0"/>
    <x v="2"/>
    <x v="1"/>
    <x v="7"/>
    <x v="0"/>
    <x v="4"/>
    <x v="0"/>
    <s v="Por interés propio / autoaprendizaje"/>
    <x v="2"/>
    <x v="1"/>
    <x v="19"/>
    <n v="0"/>
    <x v="2"/>
    <x v="1"/>
    <x v="25"/>
    <x v="1"/>
    <x v="4"/>
    <x v="1"/>
    <x v="0"/>
    <x v="0"/>
    <x v="2"/>
    <x v="45"/>
    <x v="34"/>
    <x v="2"/>
  </r>
  <r>
    <d v="2025-10-23T10:48:09"/>
    <x v="313"/>
    <x v="0"/>
    <x v="0"/>
    <x v="0"/>
    <x v="2"/>
    <x v="0"/>
    <x v="7"/>
    <x v="0"/>
    <x v="5"/>
    <x v="0"/>
    <s v="En redes sociales"/>
    <x v="2"/>
    <x v="1"/>
    <x v="19"/>
    <n v="0"/>
    <x v="2"/>
    <x v="2"/>
    <x v="4"/>
    <x v="3"/>
    <x v="1"/>
    <x v="0"/>
    <x v="0"/>
    <x v="2"/>
    <x v="3"/>
    <x v="4"/>
    <x v="15"/>
    <x v="2"/>
  </r>
  <r>
    <d v="2025-10-23T10:55:09"/>
    <x v="314"/>
    <x v="0"/>
    <x v="0"/>
    <x v="0"/>
    <x v="2"/>
    <x v="1"/>
    <x v="7"/>
    <x v="0"/>
    <x v="5"/>
    <x v="0"/>
    <s v="En otros medios de comunicación"/>
    <x v="2"/>
    <x v="0"/>
    <x v="36"/>
    <n v="0"/>
    <x v="0"/>
    <x v="2"/>
    <x v="14"/>
    <x v="0"/>
    <x v="1"/>
    <x v="5"/>
    <x v="0"/>
    <x v="3"/>
    <x v="5"/>
    <x v="90"/>
    <x v="15"/>
    <x v="2"/>
  </r>
  <r>
    <d v="2025-10-23T11:00:04"/>
    <x v="315"/>
    <x v="0"/>
    <x v="0"/>
    <x v="0"/>
    <x v="2"/>
    <x v="0"/>
    <x v="7"/>
    <x v="0"/>
    <x v="2"/>
    <x v="0"/>
    <s v="Por interés propio / autoaprendizaje"/>
    <x v="0"/>
    <x v="3"/>
    <x v="38"/>
    <n v="1"/>
    <x v="2"/>
    <x v="4"/>
    <x v="2"/>
    <x v="3"/>
    <x v="4"/>
    <x v="1"/>
    <x v="2"/>
    <x v="1"/>
    <x v="3"/>
    <x v="91"/>
    <x v="46"/>
    <x v="2"/>
  </r>
  <r>
    <d v="2025-10-23T13:23:56"/>
    <x v="316"/>
    <x v="0"/>
    <x v="0"/>
    <x v="0"/>
    <x v="2"/>
    <x v="1"/>
    <x v="7"/>
    <x v="0"/>
    <x v="1"/>
    <x v="0"/>
    <s v="En cursos o conferencias"/>
    <x v="4"/>
    <x v="4"/>
    <x v="58"/>
    <n v="2"/>
    <x v="2"/>
    <x v="0"/>
    <x v="2"/>
    <x v="3"/>
    <x v="6"/>
    <x v="1"/>
    <x v="2"/>
    <x v="3"/>
    <x v="12"/>
    <x v="92"/>
    <x v="4"/>
    <x v="2"/>
  </r>
  <r>
    <d v="2025-10-23T14:27:10"/>
    <x v="317"/>
    <x v="0"/>
    <x v="0"/>
    <x v="0"/>
    <x v="2"/>
    <x v="0"/>
    <x v="7"/>
    <x v="0"/>
    <x v="1"/>
    <x v="0"/>
    <s v="En cursos o conferencias"/>
    <x v="2"/>
    <x v="1"/>
    <x v="7"/>
    <n v="1"/>
    <x v="0"/>
    <x v="4"/>
    <x v="2"/>
    <x v="0"/>
    <x v="1"/>
    <x v="3"/>
    <x v="0"/>
    <x v="1"/>
    <x v="2"/>
    <x v="93"/>
    <x v="51"/>
    <x v="2"/>
  </r>
  <r>
    <d v="2025-10-23T15:52:42"/>
    <x v="318"/>
    <x v="0"/>
    <x v="0"/>
    <x v="0"/>
    <x v="0"/>
    <x v="0"/>
    <x v="7"/>
    <x v="0"/>
    <x v="2"/>
    <x v="0"/>
    <s v="En redes sociales"/>
    <x v="0"/>
    <x v="0"/>
    <x v="50"/>
    <n v="0"/>
    <x v="2"/>
    <x v="0"/>
    <x v="14"/>
    <x v="3"/>
    <x v="15"/>
    <x v="1"/>
    <x v="4"/>
    <x v="3"/>
    <x v="7"/>
    <x v="40"/>
    <x v="21"/>
    <x v="2"/>
  </r>
  <r>
    <d v="2025-10-23T17:57:48"/>
    <x v="319"/>
    <x v="0"/>
    <x v="0"/>
    <x v="0"/>
    <x v="2"/>
    <x v="0"/>
    <x v="7"/>
    <x v="0"/>
    <x v="4"/>
    <x v="0"/>
    <s v="En cursos o conferencias"/>
    <x v="0"/>
    <x v="3"/>
    <x v="59"/>
    <n v="1"/>
    <x v="2"/>
    <x v="0"/>
    <x v="3"/>
    <x v="3"/>
    <x v="4"/>
    <x v="1"/>
    <x v="2"/>
    <x v="1"/>
    <x v="5"/>
    <x v="94"/>
    <x v="33"/>
    <x v="2"/>
  </r>
  <r>
    <d v="2025-10-23T18:42:28"/>
    <x v="320"/>
    <x v="0"/>
    <x v="0"/>
    <x v="0"/>
    <x v="2"/>
    <x v="0"/>
    <x v="7"/>
    <x v="0"/>
    <x v="0"/>
    <x v="0"/>
    <s v="En cursos o conferencias"/>
    <x v="1"/>
    <x v="1"/>
    <x v="0"/>
    <n v="1"/>
    <x v="0"/>
    <x v="3"/>
    <x v="2"/>
    <x v="3"/>
    <x v="2"/>
    <x v="4"/>
    <x v="2"/>
    <x v="3"/>
    <x v="12"/>
    <x v="44"/>
    <x v="12"/>
    <x v="2"/>
  </r>
  <r>
    <d v="2025-10-23T19:49:56"/>
    <x v="321"/>
    <x v="0"/>
    <x v="0"/>
    <x v="0"/>
    <x v="2"/>
    <x v="1"/>
    <x v="7"/>
    <x v="0"/>
    <x v="2"/>
    <x v="0"/>
    <s v="En cursos o conferencias"/>
    <x v="1"/>
    <x v="1"/>
    <x v="5"/>
    <n v="1"/>
    <x v="0"/>
    <x v="1"/>
    <x v="4"/>
    <x v="0"/>
    <x v="2"/>
    <x v="1"/>
    <x v="0"/>
    <x v="1"/>
    <x v="14"/>
    <x v="95"/>
    <x v="60"/>
    <x v="2"/>
  </r>
  <r>
    <d v="2025-10-24T12:04:01"/>
    <x v="322"/>
    <x v="0"/>
    <x v="0"/>
    <x v="0"/>
    <x v="1"/>
    <x v="1"/>
    <x v="7"/>
    <x v="0"/>
    <x v="0"/>
    <x v="0"/>
    <s v="Por interés propio / autoaprendizaje"/>
    <x v="4"/>
    <x v="4"/>
    <x v="50"/>
    <n v="2"/>
    <x v="2"/>
    <x v="0"/>
    <x v="29"/>
    <x v="4"/>
    <x v="5"/>
    <x v="1"/>
    <x v="2"/>
    <x v="3"/>
    <x v="13"/>
    <x v="9"/>
    <x v="15"/>
    <x v="3"/>
  </r>
  <r>
    <d v="2025-10-24T13:03:17"/>
    <x v="323"/>
    <x v="0"/>
    <x v="0"/>
    <x v="0"/>
    <x v="1"/>
    <x v="1"/>
    <x v="7"/>
    <x v="2"/>
    <x v="0"/>
    <x v="0"/>
    <s v="Por interés propio / autoaprendizaje"/>
    <x v="4"/>
    <x v="4"/>
    <x v="17"/>
    <n v="6"/>
    <x v="2"/>
    <x v="0"/>
    <x v="29"/>
    <x v="3"/>
    <x v="6"/>
    <x v="1"/>
    <x v="2"/>
    <x v="3"/>
    <x v="3"/>
    <x v="9"/>
    <x v="6"/>
    <x v="3"/>
  </r>
  <r>
    <d v="2025-10-24T13:29:27"/>
    <x v="324"/>
    <x v="0"/>
    <x v="0"/>
    <x v="0"/>
    <x v="1"/>
    <x v="1"/>
    <x v="7"/>
    <x v="4"/>
    <x v="0"/>
    <x v="0"/>
    <s v="Por interés propio / autoaprendizaje"/>
    <x v="0"/>
    <x v="3"/>
    <x v="23"/>
    <n v="1"/>
    <x v="2"/>
    <x v="0"/>
    <x v="0"/>
    <x v="0"/>
    <x v="4"/>
    <x v="1"/>
    <x v="2"/>
    <x v="3"/>
    <x v="18"/>
    <x v="10"/>
    <x v="15"/>
    <x v="3"/>
  </r>
  <r>
    <d v="2025-10-24T18:08:09"/>
    <x v="325"/>
    <x v="0"/>
    <x v="0"/>
    <x v="0"/>
    <x v="3"/>
    <x v="0"/>
    <x v="7"/>
    <x v="0"/>
    <x v="5"/>
    <x v="1"/>
    <s v="En esta encuesta 😅"/>
    <x v="1"/>
    <x v="1"/>
    <x v="1"/>
    <n v="0"/>
    <x v="4"/>
    <x v="3"/>
    <x v="0"/>
    <x v="2"/>
    <x v="2"/>
    <x v="5"/>
    <x v="1"/>
    <x v="0"/>
    <x v="6"/>
    <x v="7"/>
    <x v="1"/>
    <x v="3"/>
  </r>
  <r>
    <d v="2025-10-24T18:13:19"/>
    <x v="326"/>
    <x v="0"/>
    <x v="0"/>
    <x v="0"/>
    <x v="3"/>
    <x v="1"/>
    <x v="7"/>
    <x v="0"/>
    <x v="5"/>
    <x v="0"/>
    <s v="Por interés propio / autoaprendizaje"/>
    <x v="0"/>
    <x v="3"/>
    <x v="24"/>
    <n v="0"/>
    <x v="0"/>
    <x v="1"/>
    <x v="25"/>
    <x v="3"/>
    <x v="3"/>
    <x v="3"/>
    <x v="2"/>
    <x v="0"/>
    <x v="11"/>
    <x v="7"/>
    <x v="16"/>
    <x v="3"/>
  </r>
  <r>
    <d v="2025-10-24T19:03:30"/>
    <x v="327"/>
    <x v="0"/>
    <x v="0"/>
    <x v="0"/>
    <x v="3"/>
    <x v="1"/>
    <x v="7"/>
    <x v="0"/>
    <x v="2"/>
    <x v="0"/>
    <s v="En redes sociales"/>
    <x v="2"/>
    <x v="3"/>
    <x v="3"/>
    <n v="0"/>
    <x v="1"/>
    <x v="3"/>
    <x v="15"/>
    <x v="1"/>
    <x v="4"/>
    <x v="3"/>
    <x v="0"/>
    <x v="1"/>
    <x v="28"/>
    <x v="7"/>
    <x v="5"/>
    <x v="3"/>
  </r>
  <r>
    <d v="2025-10-24T19:27:27"/>
    <x v="328"/>
    <x v="0"/>
    <x v="0"/>
    <x v="0"/>
    <x v="3"/>
    <x v="0"/>
    <x v="7"/>
    <x v="0"/>
    <x v="1"/>
    <x v="0"/>
    <s v="Por interés propio / autoaprendizaje"/>
    <x v="0"/>
    <x v="0"/>
    <x v="6"/>
    <n v="2"/>
    <x v="1"/>
    <x v="2"/>
    <x v="11"/>
    <x v="1"/>
    <x v="5"/>
    <x v="0"/>
    <x v="2"/>
    <x v="3"/>
    <x v="28"/>
    <x v="7"/>
    <x v="61"/>
    <x v="3"/>
  </r>
  <r>
    <d v="2025-10-24T20:03:06"/>
    <x v="329"/>
    <x v="0"/>
    <x v="0"/>
    <x v="0"/>
    <x v="3"/>
    <x v="1"/>
    <x v="7"/>
    <x v="0"/>
    <x v="1"/>
    <x v="1"/>
    <s v="En esta encuesta 😅"/>
    <x v="1"/>
    <x v="1"/>
    <x v="1"/>
    <n v="0"/>
    <x v="4"/>
    <x v="3"/>
    <x v="38"/>
    <x v="2"/>
    <x v="6"/>
    <x v="0"/>
    <x v="1"/>
    <x v="0"/>
    <x v="38"/>
    <x v="7"/>
    <x v="62"/>
    <x v="3"/>
  </r>
  <r>
    <d v="2025-10-24T20:56:07"/>
    <x v="330"/>
    <x v="0"/>
    <x v="0"/>
    <x v="0"/>
    <x v="3"/>
    <x v="0"/>
    <x v="7"/>
    <x v="0"/>
    <x v="2"/>
    <x v="0"/>
    <s v="Mi familia "/>
    <x v="0"/>
    <x v="0"/>
    <x v="6"/>
    <n v="0"/>
    <x v="0"/>
    <x v="1"/>
    <x v="15"/>
    <x v="1"/>
    <x v="6"/>
    <x v="3"/>
    <x v="2"/>
    <x v="1"/>
    <x v="7"/>
    <x v="7"/>
    <x v="30"/>
    <x v="3"/>
  </r>
  <r>
    <d v="2025-10-24T22:21:50"/>
    <x v="331"/>
    <x v="0"/>
    <x v="0"/>
    <x v="0"/>
    <x v="0"/>
    <x v="0"/>
    <x v="7"/>
    <x v="0"/>
    <x v="2"/>
    <x v="0"/>
    <s v="Por interés propio / autoaprendizaje"/>
    <x v="1"/>
    <x v="2"/>
    <x v="20"/>
    <n v="2"/>
    <x v="0"/>
    <x v="0"/>
    <x v="39"/>
    <x v="0"/>
    <x v="7"/>
    <x v="1"/>
    <x v="3"/>
    <x v="1"/>
    <x v="33"/>
    <x v="9"/>
    <x v="12"/>
    <x v="3"/>
  </r>
  <r>
    <d v="2025-10-24T22:33:53"/>
    <x v="332"/>
    <x v="0"/>
    <x v="0"/>
    <x v="0"/>
    <x v="3"/>
    <x v="1"/>
    <x v="7"/>
    <x v="0"/>
    <x v="2"/>
    <x v="0"/>
    <s v="En redes sociales"/>
    <x v="2"/>
    <x v="1"/>
    <x v="1"/>
    <n v="0"/>
    <x v="4"/>
    <x v="3"/>
    <x v="1"/>
    <x v="2"/>
    <x v="5"/>
    <x v="0"/>
    <x v="0"/>
    <x v="2"/>
    <x v="28"/>
    <x v="7"/>
    <x v="30"/>
    <x v="3"/>
  </r>
  <r>
    <d v="2025-10-21T22:56:24"/>
    <x v="333"/>
    <x v="0"/>
    <x v="0"/>
    <x v="0"/>
    <x v="2"/>
    <x v="0"/>
    <x v="8"/>
    <x v="0"/>
    <x v="1"/>
    <x v="0"/>
    <s v="Por interés propio / autoaprendizaje"/>
    <x v="2"/>
    <x v="0"/>
    <x v="20"/>
    <n v="0"/>
    <x v="2"/>
    <x v="0"/>
    <x v="40"/>
    <x v="3"/>
    <x v="6"/>
    <x v="1"/>
    <x v="2"/>
    <x v="1"/>
    <x v="11"/>
    <x v="96"/>
    <x v="26"/>
    <x v="0"/>
  </r>
  <r>
    <d v="2025-10-21T23:17:59"/>
    <x v="334"/>
    <x v="0"/>
    <x v="0"/>
    <x v="0"/>
    <x v="2"/>
    <x v="0"/>
    <x v="8"/>
    <x v="0"/>
    <x v="1"/>
    <x v="0"/>
    <s v="En esta encuesta 😅"/>
    <x v="1"/>
    <x v="1"/>
    <x v="24"/>
    <n v="0"/>
    <x v="0"/>
    <x v="2"/>
    <x v="7"/>
    <x v="0"/>
    <x v="4"/>
    <x v="1"/>
    <x v="2"/>
    <x v="1"/>
    <x v="11"/>
    <x v="97"/>
    <x v="18"/>
    <x v="0"/>
  </r>
  <r>
    <d v="2025-10-22T21:24:14"/>
    <x v="335"/>
    <x v="0"/>
    <x v="0"/>
    <x v="0"/>
    <x v="2"/>
    <x v="1"/>
    <x v="8"/>
    <x v="0"/>
    <x v="0"/>
    <x v="0"/>
    <s v="Por interés propio / autoaprendizaje"/>
    <x v="0"/>
    <x v="0"/>
    <x v="60"/>
    <n v="1"/>
    <x v="2"/>
    <x v="4"/>
    <x v="22"/>
    <x v="3"/>
    <x v="1"/>
    <x v="1"/>
    <x v="2"/>
    <x v="3"/>
    <x v="10"/>
    <x v="98"/>
    <x v="63"/>
    <x v="1"/>
  </r>
  <r>
    <d v="2025-10-23T00:35:16"/>
    <x v="336"/>
    <x v="0"/>
    <x v="0"/>
    <x v="0"/>
    <x v="0"/>
    <x v="1"/>
    <x v="8"/>
    <x v="2"/>
    <x v="3"/>
    <x v="0"/>
    <s v="En cursos o conferencias"/>
    <x v="0"/>
    <x v="2"/>
    <x v="50"/>
    <n v="1"/>
    <x v="0"/>
    <x v="0"/>
    <x v="21"/>
    <x v="0"/>
    <x v="16"/>
    <x v="4"/>
    <x v="0"/>
    <x v="0"/>
    <x v="30"/>
    <x v="0"/>
    <x v="10"/>
    <x v="2"/>
  </r>
  <r>
    <d v="2025-10-23T10:08:46"/>
    <x v="337"/>
    <x v="0"/>
    <x v="0"/>
    <x v="0"/>
    <x v="2"/>
    <x v="0"/>
    <x v="8"/>
    <x v="0"/>
    <x v="1"/>
    <x v="0"/>
    <s v="En la universidad"/>
    <x v="0"/>
    <x v="0"/>
    <x v="61"/>
    <n v="1"/>
    <x v="2"/>
    <x v="2"/>
    <x v="15"/>
    <x v="3"/>
    <x v="4"/>
    <x v="1"/>
    <x v="0"/>
    <x v="3"/>
    <x v="26"/>
    <x v="99"/>
    <x v="24"/>
    <x v="2"/>
  </r>
  <r>
    <d v="2025-10-24T17:48:32"/>
    <x v="338"/>
    <x v="0"/>
    <x v="0"/>
    <x v="0"/>
    <x v="3"/>
    <x v="1"/>
    <x v="8"/>
    <x v="1"/>
    <x v="1"/>
    <x v="0"/>
    <s v="En redes sociales"/>
    <x v="2"/>
    <x v="0"/>
    <x v="3"/>
    <n v="0"/>
    <x v="3"/>
    <x v="3"/>
    <x v="1"/>
    <x v="2"/>
    <x v="10"/>
    <x v="3"/>
    <x v="2"/>
    <x v="2"/>
    <x v="23"/>
    <x v="7"/>
    <x v="61"/>
    <x v="3"/>
  </r>
  <r>
    <d v="2025-10-24T18:10:17"/>
    <x v="339"/>
    <x v="0"/>
    <x v="0"/>
    <x v="0"/>
    <x v="3"/>
    <x v="1"/>
    <x v="8"/>
    <x v="0"/>
    <x v="5"/>
    <x v="0"/>
    <s v="En redes sociales"/>
    <x v="2"/>
    <x v="0"/>
    <x v="3"/>
    <n v="0"/>
    <x v="1"/>
    <x v="1"/>
    <x v="35"/>
    <x v="1"/>
    <x v="10"/>
    <x v="3"/>
    <x v="0"/>
    <x v="0"/>
    <x v="11"/>
    <x v="7"/>
    <x v="39"/>
    <x v="3"/>
  </r>
  <r>
    <d v="2025-10-24T19:29:49"/>
    <x v="340"/>
    <x v="0"/>
    <x v="0"/>
    <x v="0"/>
    <x v="3"/>
    <x v="0"/>
    <x v="8"/>
    <x v="0"/>
    <x v="1"/>
    <x v="0"/>
    <s v="En otros medios de comunicación"/>
    <x v="0"/>
    <x v="3"/>
    <x v="6"/>
    <n v="0"/>
    <x v="1"/>
    <x v="2"/>
    <x v="10"/>
    <x v="2"/>
    <x v="11"/>
    <x v="4"/>
    <x v="0"/>
    <x v="0"/>
    <x v="25"/>
    <x v="40"/>
    <x v="54"/>
    <x v="3"/>
  </r>
  <r>
    <d v="2025-10-24T20:36:30"/>
    <x v="341"/>
    <x v="0"/>
    <x v="0"/>
    <x v="0"/>
    <x v="3"/>
    <x v="1"/>
    <x v="8"/>
    <x v="0"/>
    <x v="3"/>
    <x v="0"/>
    <s v="En la universidad"/>
    <x v="0"/>
    <x v="3"/>
    <x v="46"/>
    <n v="1"/>
    <x v="0"/>
    <x v="1"/>
    <x v="15"/>
    <x v="1"/>
    <x v="6"/>
    <x v="1"/>
    <x v="2"/>
    <x v="0"/>
    <x v="28"/>
    <x v="7"/>
    <x v="26"/>
    <x v="3"/>
  </r>
  <r>
    <d v="2025-10-24T21:04:13"/>
    <x v="342"/>
    <x v="0"/>
    <x v="0"/>
    <x v="0"/>
    <x v="0"/>
    <x v="1"/>
    <x v="8"/>
    <x v="0"/>
    <x v="2"/>
    <x v="0"/>
    <s v="En la universidad"/>
    <x v="0"/>
    <x v="0"/>
    <x v="3"/>
    <n v="0"/>
    <x v="2"/>
    <x v="0"/>
    <x v="16"/>
    <x v="0"/>
    <x v="4"/>
    <x v="3"/>
    <x v="1"/>
    <x v="3"/>
    <x v="7"/>
    <x v="86"/>
    <x v="39"/>
    <x v="3"/>
  </r>
  <r>
    <d v="2025-10-23T09:25:33"/>
    <x v="343"/>
    <x v="0"/>
    <x v="0"/>
    <x v="0"/>
    <x v="2"/>
    <x v="1"/>
    <x v="9"/>
    <x v="0"/>
    <x v="0"/>
    <x v="0"/>
    <s v="En la universidad"/>
    <x v="0"/>
    <x v="0"/>
    <x v="48"/>
    <n v="1"/>
    <x v="2"/>
    <x v="1"/>
    <x v="4"/>
    <x v="1"/>
    <x v="6"/>
    <x v="1"/>
    <x v="2"/>
    <x v="1"/>
    <x v="2"/>
    <x v="24"/>
    <x v="34"/>
    <x v="2"/>
  </r>
  <r>
    <d v="2025-10-23T15:48:08"/>
    <x v="344"/>
    <x v="0"/>
    <x v="0"/>
    <x v="0"/>
    <x v="0"/>
    <x v="1"/>
    <x v="9"/>
    <x v="0"/>
    <x v="2"/>
    <x v="0"/>
    <s v="En redes sociales"/>
    <x v="1"/>
    <x v="3"/>
    <x v="1"/>
    <n v="0"/>
    <x v="4"/>
    <x v="3"/>
    <x v="5"/>
    <x v="2"/>
    <x v="11"/>
    <x v="8"/>
    <x v="1"/>
    <x v="2"/>
    <x v="18"/>
    <x v="7"/>
    <x v="30"/>
    <x v="2"/>
  </r>
  <r>
    <d v="2025-10-24T19:41:00"/>
    <x v="345"/>
    <x v="0"/>
    <x v="0"/>
    <x v="0"/>
    <x v="3"/>
    <x v="1"/>
    <x v="10"/>
    <x v="0"/>
    <x v="3"/>
    <x v="0"/>
    <s v="En la universidad"/>
    <x v="4"/>
    <x v="3"/>
    <x v="62"/>
    <n v="8"/>
    <x v="2"/>
    <x v="0"/>
    <x v="15"/>
    <x v="0"/>
    <x v="8"/>
    <x v="1"/>
    <x v="0"/>
    <x v="0"/>
    <x v="7"/>
    <x v="100"/>
    <x v="30"/>
    <x v="3"/>
  </r>
  <r>
    <d v="2025-10-23T13:28:49"/>
    <x v="346"/>
    <x v="0"/>
    <x v="0"/>
    <x v="0"/>
    <x v="2"/>
    <x v="0"/>
    <x v="11"/>
    <x v="0"/>
    <x v="1"/>
    <x v="0"/>
    <s v="En cursos o conferencias"/>
    <x v="0"/>
    <x v="3"/>
    <x v="63"/>
    <n v="1"/>
    <x v="2"/>
    <x v="2"/>
    <x v="1"/>
    <x v="3"/>
    <x v="5"/>
    <x v="1"/>
    <x v="2"/>
    <x v="3"/>
    <x v="13"/>
    <x v="10"/>
    <x v="4"/>
    <x v="2"/>
  </r>
  <r>
    <d v="2025-10-24T19:22:42"/>
    <x v="347"/>
    <x v="0"/>
    <x v="0"/>
    <x v="0"/>
    <x v="3"/>
    <x v="1"/>
    <x v="12"/>
    <x v="0"/>
    <x v="0"/>
    <x v="0"/>
    <s v="En otros medios de comunicación"/>
    <x v="2"/>
    <x v="1"/>
    <x v="3"/>
    <n v="0"/>
    <x v="4"/>
    <x v="3"/>
    <x v="41"/>
    <x v="2"/>
    <x v="7"/>
    <x v="3"/>
    <x v="0"/>
    <x v="0"/>
    <x v="39"/>
    <x v="7"/>
    <x v="64"/>
    <x v="3"/>
  </r>
  <r>
    <d v="2025-10-21T22:59:30"/>
    <x v="348"/>
    <x v="0"/>
    <x v="0"/>
    <x v="0"/>
    <x v="2"/>
    <x v="1"/>
    <x v="13"/>
    <x v="0"/>
    <x v="1"/>
    <x v="0"/>
    <s v="En redes sociales"/>
    <x v="1"/>
    <x v="1"/>
    <x v="24"/>
    <n v="0"/>
    <x v="2"/>
    <x v="0"/>
    <x v="1"/>
    <x v="0"/>
    <x v="1"/>
    <x v="1"/>
    <x v="0"/>
    <x v="3"/>
    <x v="23"/>
    <x v="101"/>
    <x v="32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</r>
  <r>
    <x v="0"/>
  </r>
  <r>
    <x v="1"/>
  </r>
  <r>
    <x v="1"/>
  </r>
  <r>
    <x v="0"/>
  </r>
  <r>
    <x v="1"/>
  </r>
  <r>
    <x v="2"/>
  </r>
  <r>
    <x v="1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1"/>
  </r>
  <r>
    <x v="1"/>
  </r>
  <r>
    <x v="0"/>
  </r>
  <r>
    <x v="0"/>
  </r>
  <r>
    <x v="0"/>
  </r>
  <r>
    <x v="3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1"/>
  </r>
  <r>
    <x v="3"/>
  </r>
  <r>
    <x v="0"/>
  </r>
  <r>
    <x v="1"/>
  </r>
  <r>
    <x v="1"/>
  </r>
  <r>
    <x v="0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3"/>
  </r>
  <r>
    <x v="0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3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</r>
  <r>
    <x v="1"/>
  </r>
  <r>
    <x v="1"/>
  </r>
  <r>
    <x v="0"/>
  </r>
  <r>
    <x v="1"/>
  </r>
  <r>
    <x v="2"/>
  </r>
  <r>
    <x v="3"/>
  </r>
  <r>
    <x v="1"/>
  </r>
  <r>
    <x v="2"/>
  </r>
  <r>
    <x v="1"/>
  </r>
  <r>
    <x v="1"/>
  </r>
  <r>
    <x v="1"/>
  </r>
  <r>
    <x v="4"/>
  </r>
  <r>
    <x v="2"/>
  </r>
  <r>
    <x v="2"/>
  </r>
  <r>
    <x v="1"/>
  </r>
  <r>
    <x v="5"/>
  </r>
  <r>
    <x v="5"/>
  </r>
  <r>
    <x v="5"/>
  </r>
  <r>
    <x v="1"/>
  </r>
  <r>
    <x v="2"/>
  </r>
  <r>
    <x v="1"/>
  </r>
  <r>
    <x v="5"/>
  </r>
  <r>
    <x v="2"/>
  </r>
  <r>
    <x v="5"/>
  </r>
  <r>
    <x v="3"/>
  </r>
  <r>
    <x v="3"/>
  </r>
  <r>
    <x v="3"/>
  </r>
  <r>
    <x v="2"/>
  </r>
  <r>
    <x v="5"/>
  </r>
  <r>
    <x v="3"/>
  </r>
  <r>
    <x v="0"/>
  </r>
  <r>
    <x v="5"/>
  </r>
  <r>
    <x v="3"/>
  </r>
  <r>
    <x v="1"/>
  </r>
  <r>
    <x v="1"/>
  </r>
  <r>
    <x v="1"/>
  </r>
  <r>
    <x v="3"/>
  </r>
  <r>
    <x v="1"/>
  </r>
  <r>
    <x v="3"/>
  </r>
  <r>
    <x v="1"/>
  </r>
  <r>
    <x v="1"/>
  </r>
  <r>
    <x v="1"/>
  </r>
  <r>
    <x v="3"/>
  </r>
  <r>
    <x v="1"/>
  </r>
  <r>
    <x v="3"/>
  </r>
  <r>
    <x v="1"/>
  </r>
  <r>
    <x v="1"/>
  </r>
  <r>
    <x v="4"/>
  </r>
  <r>
    <x v="1"/>
  </r>
  <r>
    <x v="1"/>
  </r>
  <r>
    <x v="4"/>
  </r>
  <r>
    <x v="1"/>
  </r>
  <r>
    <x v="0"/>
  </r>
  <r>
    <x v="2"/>
  </r>
  <r>
    <x v="3"/>
  </r>
  <r>
    <x v="0"/>
  </r>
  <r>
    <x v="1"/>
  </r>
  <r>
    <x v="2"/>
  </r>
  <r>
    <x v="2"/>
  </r>
  <r>
    <x v="0"/>
  </r>
  <r>
    <x v="0"/>
  </r>
  <r>
    <x v="2"/>
  </r>
  <r>
    <x v="1"/>
  </r>
  <r>
    <x v="3"/>
  </r>
  <r>
    <x v="3"/>
  </r>
  <r>
    <x v="2"/>
  </r>
  <r>
    <x v="3"/>
  </r>
  <r>
    <x v="3"/>
  </r>
  <r>
    <x v="1"/>
  </r>
  <r>
    <x v="2"/>
  </r>
  <r>
    <x v="3"/>
  </r>
  <r>
    <x v="2"/>
  </r>
  <r>
    <x v="2"/>
  </r>
  <r>
    <x v="0"/>
  </r>
  <r>
    <x v="2"/>
  </r>
  <r>
    <x v="3"/>
  </r>
  <r>
    <x v="1"/>
  </r>
  <r>
    <x v="1"/>
  </r>
  <r>
    <x v="1"/>
  </r>
  <r>
    <x v="3"/>
  </r>
  <r>
    <x v="1"/>
  </r>
  <r>
    <x v="1"/>
  </r>
  <r>
    <x v="1"/>
  </r>
  <r>
    <x v="1"/>
  </r>
  <r>
    <x v="2"/>
  </r>
  <r>
    <x v="0"/>
  </r>
  <r>
    <x v="1"/>
  </r>
  <r>
    <x v="3"/>
  </r>
  <r>
    <x v="3"/>
  </r>
  <r>
    <x v="3"/>
  </r>
  <r>
    <x v="1"/>
  </r>
  <r>
    <x v="2"/>
  </r>
  <r>
    <x v="2"/>
  </r>
  <r>
    <x v="3"/>
  </r>
  <r>
    <x v="1"/>
  </r>
  <r>
    <x v="2"/>
  </r>
  <r>
    <x v="3"/>
  </r>
  <r>
    <x v="1"/>
  </r>
  <r>
    <x v="4"/>
  </r>
  <r>
    <x v="1"/>
  </r>
  <r>
    <x v="3"/>
  </r>
  <r>
    <x v="2"/>
  </r>
  <r>
    <x v="3"/>
  </r>
  <r>
    <x v="3"/>
  </r>
  <r>
    <x v="3"/>
  </r>
  <r>
    <x v="3"/>
  </r>
  <r>
    <x v="2"/>
  </r>
  <r>
    <x v="0"/>
  </r>
  <r>
    <x v="0"/>
  </r>
  <r>
    <x v="1"/>
  </r>
  <r>
    <x v="3"/>
  </r>
  <r>
    <x v="2"/>
  </r>
  <r>
    <x v="2"/>
  </r>
  <r>
    <x v="6"/>
  </r>
  <r>
    <x v="0"/>
  </r>
  <r>
    <x v="1"/>
  </r>
  <r>
    <x v="1"/>
  </r>
  <r>
    <x v="0"/>
  </r>
  <r>
    <x v="2"/>
  </r>
  <r>
    <x v="3"/>
  </r>
  <r>
    <x v="4"/>
  </r>
  <r>
    <x v="1"/>
  </r>
  <r>
    <x v="5"/>
  </r>
  <r>
    <x v="4"/>
  </r>
  <r>
    <x v="2"/>
  </r>
  <r>
    <x v="3"/>
  </r>
  <r>
    <x v="0"/>
  </r>
  <r>
    <x v="0"/>
  </r>
  <r>
    <x v="3"/>
  </r>
  <r>
    <x v="4"/>
  </r>
  <r>
    <x v="3"/>
  </r>
  <r>
    <x v="1"/>
  </r>
  <r>
    <x v="1"/>
  </r>
  <r>
    <x v="3"/>
  </r>
  <r>
    <x v="3"/>
  </r>
  <r>
    <x v="3"/>
  </r>
  <r>
    <x v="3"/>
  </r>
  <r>
    <x v="3"/>
  </r>
  <r>
    <x v="2"/>
  </r>
  <r>
    <x v="3"/>
  </r>
  <r>
    <x v="1"/>
  </r>
  <r>
    <x v="1"/>
  </r>
  <r>
    <x v="3"/>
  </r>
  <r>
    <x v="3"/>
  </r>
  <r>
    <x v="3"/>
  </r>
  <r>
    <x v="3"/>
  </r>
  <r>
    <x v="1"/>
  </r>
  <r>
    <x v="0"/>
  </r>
  <r>
    <x v="1"/>
  </r>
  <r>
    <x v="1"/>
  </r>
  <r>
    <x v="3"/>
  </r>
  <r>
    <x v="3"/>
  </r>
  <r>
    <x v="3"/>
  </r>
  <r>
    <x v="1"/>
  </r>
  <r>
    <x v="1"/>
  </r>
  <r>
    <x v="1"/>
  </r>
  <r>
    <x v="0"/>
  </r>
  <r>
    <x v="7"/>
  </r>
  <r>
    <x v="0"/>
  </r>
  <r>
    <x v="4"/>
  </r>
  <r>
    <x v="1"/>
  </r>
  <r>
    <x v="3"/>
  </r>
  <r>
    <x v="5"/>
  </r>
  <r>
    <x v="2"/>
  </r>
  <r>
    <x v="4"/>
  </r>
  <r>
    <x v="3"/>
  </r>
  <r>
    <x v="2"/>
  </r>
  <r>
    <x v="0"/>
  </r>
  <r>
    <x v="3"/>
  </r>
  <r>
    <x v="3"/>
  </r>
  <r>
    <x v="1"/>
  </r>
  <r>
    <x v="3"/>
  </r>
  <r>
    <x v="0"/>
  </r>
  <r>
    <x v="2"/>
  </r>
  <r>
    <x v="0"/>
  </r>
  <r>
    <x v="4"/>
  </r>
  <r>
    <x v="4"/>
  </r>
  <r>
    <x v="3"/>
  </r>
  <r>
    <x v="0"/>
  </r>
  <r>
    <x v="3"/>
  </r>
  <r>
    <x v="2"/>
  </r>
  <r>
    <x v="8"/>
  </r>
  <r>
    <x v="3"/>
  </r>
  <r>
    <x v="4"/>
  </r>
  <r>
    <x v="2"/>
  </r>
  <r>
    <x v="3"/>
  </r>
  <r>
    <x v="2"/>
  </r>
  <r>
    <x v="2"/>
  </r>
  <r>
    <x v="3"/>
  </r>
  <r>
    <x v="1"/>
  </r>
  <r>
    <x v="5"/>
  </r>
  <r>
    <x v="2"/>
  </r>
  <r>
    <x v="2"/>
  </r>
  <r>
    <x v="1"/>
  </r>
  <r>
    <x v="4"/>
  </r>
  <r>
    <x v="2"/>
  </r>
  <r>
    <x v="2"/>
  </r>
  <r>
    <x v="2"/>
  </r>
  <r>
    <x v="3"/>
  </r>
  <r>
    <x v="2"/>
  </r>
  <r>
    <x v="3"/>
  </r>
  <r>
    <x v="0"/>
  </r>
  <r>
    <x v="3"/>
  </r>
  <r>
    <x v="2"/>
  </r>
  <r>
    <x v="3"/>
  </r>
  <r>
    <x v="2"/>
  </r>
  <r>
    <x v="0"/>
  </r>
  <r>
    <x v="3"/>
  </r>
  <r>
    <x v="5"/>
  </r>
  <r>
    <x v="2"/>
  </r>
  <r>
    <x v="0"/>
  </r>
  <r>
    <x v="3"/>
  </r>
  <r>
    <x v="2"/>
  </r>
  <r>
    <x v="0"/>
  </r>
  <r>
    <x v="0"/>
  </r>
  <r>
    <x v="0"/>
  </r>
  <r>
    <x v="3"/>
  </r>
  <r>
    <x v="3"/>
  </r>
  <r>
    <x v="0"/>
  </r>
  <r>
    <x v="3"/>
  </r>
  <r>
    <x v="2"/>
  </r>
  <r>
    <x v="0"/>
  </r>
  <r>
    <x v="3"/>
  </r>
  <r>
    <x v="0"/>
  </r>
  <r>
    <x v="0"/>
  </r>
  <r>
    <x v="2"/>
  </r>
  <r>
    <x v="2"/>
  </r>
  <r>
    <x v="4"/>
  </r>
  <r>
    <x v="4"/>
  </r>
  <r>
    <x v="0"/>
  </r>
  <r>
    <x v="3"/>
  </r>
  <r>
    <x v="3"/>
  </r>
  <r>
    <x v="4"/>
  </r>
  <r>
    <x v="0"/>
  </r>
  <r>
    <x v="1"/>
  </r>
  <r>
    <x v="0"/>
  </r>
  <r>
    <x v="1"/>
  </r>
  <r>
    <x v="0"/>
  </r>
  <r>
    <x v="2"/>
  </r>
  <r>
    <x v="3"/>
  </r>
  <r>
    <x v="4"/>
  </r>
  <r>
    <x v="4"/>
  </r>
  <r>
    <x v="3"/>
  </r>
  <r>
    <x v="3"/>
  </r>
  <r>
    <x v="2"/>
  </r>
  <r>
    <x v="0"/>
  </r>
  <r>
    <x v="3"/>
  </r>
  <r>
    <x v="3"/>
  </r>
  <r>
    <x v="3"/>
  </r>
  <r>
    <x v="1"/>
  </r>
  <r>
    <x v="3"/>
  </r>
  <r>
    <x v="4"/>
  </r>
  <r>
    <x v="5"/>
  </r>
  <r>
    <x v="3"/>
  </r>
  <r>
    <x v="3"/>
  </r>
  <r>
    <x v="2"/>
  </r>
  <r>
    <x v="3"/>
  </r>
  <r>
    <x v="3"/>
  </r>
  <r>
    <x v="1"/>
  </r>
  <r>
    <x v="1"/>
  </r>
  <r>
    <x v="0"/>
  </r>
  <r>
    <x v="2"/>
  </r>
  <r>
    <x v="3"/>
  </r>
  <r>
    <x v="0"/>
  </r>
  <r>
    <x v="5"/>
  </r>
  <r>
    <x v="3"/>
  </r>
  <r>
    <x v="0"/>
  </r>
  <r>
    <x v="1"/>
  </r>
  <r>
    <x v="0"/>
  </r>
  <r>
    <x v="2"/>
  </r>
  <r>
    <x v="1"/>
  </r>
  <r>
    <x v="3"/>
  </r>
  <r>
    <x v="2"/>
  </r>
  <r>
    <x v="0"/>
  </r>
  <r>
    <x v="4"/>
  </r>
  <r>
    <x v="2"/>
  </r>
  <r>
    <x v="0"/>
  </r>
  <r>
    <x v="4"/>
  </r>
  <r>
    <x v="0"/>
  </r>
  <r>
    <x v="0"/>
  </r>
  <r>
    <x v="5"/>
  </r>
  <r>
    <x v="2"/>
  </r>
  <r>
    <x v="0"/>
  </r>
  <r>
    <x v="3"/>
  </r>
  <r>
    <x v="2"/>
  </r>
  <r>
    <x v="2"/>
  </r>
  <r>
    <x v="2"/>
  </r>
  <r>
    <x v="2"/>
  </r>
  <r>
    <x v="2"/>
  </r>
  <r>
    <x v="0"/>
  </r>
  <r>
    <x v="2"/>
  </r>
  <r>
    <x v="1"/>
  </r>
  <r>
    <x v="3"/>
  </r>
  <r>
    <x v="5"/>
  </r>
  <r>
    <x v="2"/>
  </r>
  <r>
    <x v="1"/>
  </r>
  <r>
    <x v="5"/>
  </r>
  <r>
    <x v="1"/>
  </r>
  <r>
    <x v="3"/>
  </r>
  <r>
    <x v="3"/>
  </r>
  <r>
    <x v="3"/>
  </r>
  <r>
    <x v="1"/>
  </r>
  <r>
    <x v="1"/>
  </r>
  <r>
    <x v="1"/>
  </r>
  <r>
    <x v="0"/>
  </r>
  <r>
    <x v="3"/>
  </r>
  <r>
    <x v="2"/>
  </r>
  <r>
    <x v="1"/>
  </r>
  <r>
    <x v="3"/>
  </r>
  <r>
    <x v="2"/>
  </r>
  <r>
    <x v="2"/>
  </r>
  <r>
    <x v="0"/>
  </r>
  <r>
    <x v="3"/>
  </r>
  <r>
    <x v="4"/>
  </r>
  <r>
    <x v="0"/>
  </r>
  <r>
    <x v="5"/>
  </r>
  <r>
    <x v="5"/>
  </r>
  <r>
    <x v="3"/>
  </r>
  <r>
    <x v="5"/>
  </r>
  <r>
    <x v="5"/>
  </r>
  <r>
    <x v="5"/>
  </r>
  <r>
    <x v="0"/>
  </r>
  <r>
    <x v="0"/>
  </r>
  <r>
    <x v="0"/>
  </r>
  <r>
    <x v="1"/>
  </r>
  <r>
    <x v="0"/>
  </r>
  <r>
    <x v="3"/>
  </r>
  <r>
    <x v="0"/>
  </r>
  <r>
    <x v="1"/>
  </r>
  <r>
    <x v="9"/>
  </r>
  <r>
    <x v="0"/>
  </r>
  <r>
    <x v="3"/>
  </r>
  <r>
    <x v="0"/>
  </r>
  <r>
    <x v="1"/>
  </r>
  <r>
    <x v="0"/>
  </r>
  <r>
    <x v="5"/>
  </r>
  <r>
    <x v="2"/>
  </r>
  <r>
    <x v="3"/>
  </r>
  <r>
    <x v="3"/>
  </r>
  <r>
    <x v="4"/>
  </r>
  <r>
    <x v="2"/>
  </r>
  <r>
    <x v="2"/>
  </r>
  <r>
    <x v="2"/>
  </r>
  <r>
    <x v="3"/>
  </r>
  <r>
    <x v="2"/>
  </r>
  <r>
    <x v="5"/>
  </r>
  <r>
    <x v="4"/>
  </r>
  <r>
    <x v="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x v="0"/>
    <x v="0"/>
  </r>
  <r>
    <x v="0"/>
    <x v="0"/>
  </r>
  <r>
    <x v="0"/>
    <x v="0"/>
  </r>
  <r>
    <x v="0"/>
    <x v="1"/>
  </r>
  <r>
    <x v="0"/>
    <x v="2"/>
  </r>
  <r>
    <x v="0"/>
    <x v="0"/>
  </r>
  <r>
    <x v="0"/>
    <x v="1"/>
  </r>
  <r>
    <x v="0"/>
    <x v="2"/>
  </r>
  <r>
    <x v="0"/>
    <x v="1"/>
  </r>
  <r>
    <x v="0"/>
    <x v="2"/>
  </r>
  <r>
    <x v="0"/>
    <x v="3"/>
  </r>
  <r>
    <x v="0"/>
    <x v="2"/>
  </r>
  <r>
    <x v="0"/>
    <x v="0"/>
  </r>
  <r>
    <x v="0"/>
    <x v="3"/>
  </r>
  <r>
    <x v="0"/>
    <x v="1"/>
  </r>
  <r>
    <x v="0"/>
    <x v="4"/>
  </r>
  <r>
    <x v="0"/>
    <x v="1"/>
  </r>
  <r>
    <x v="0"/>
    <x v="0"/>
  </r>
  <r>
    <x v="0"/>
    <x v="2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4"/>
  </r>
  <r>
    <x v="0"/>
    <x v="0"/>
  </r>
  <r>
    <x v="0"/>
    <x v="2"/>
  </r>
  <r>
    <x v="0"/>
    <x v="4"/>
  </r>
  <r>
    <x v="0"/>
    <x v="2"/>
  </r>
  <r>
    <x v="0"/>
    <x v="2"/>
  </r>
  <r>
    <x v="0"/>
    <x v="0"/>
  </r>
  <r>
    <x v="0"/>
    <x v="3"/>
  </r>
  <r>
    <x v="0"/>
    <x v="3"/>
  </r>
  <r>
    <x v="0"/>
    <x v="1"/>
  </r>
  <r>
    <x v="0"/>
    <x v="1"/>
  </r>
  <r>
    <x v="0"/>
    <x v="1"/>
  </r>
  <r>
    <x v="0"/>
    <x v="0"/>
  </r>
  <r>
    <x v="0"/>
    <x v="0"/>
  </r>
  <r>
    <x v="0"/>
    <x v="4"/>
  </r>
  <r>
    <x v="0"/>
    <x v="4"/>
  </r>
  <r>
    <x v="0"/>
    <x v="1"/>
  </r>
  <r>
    <x v="0"/>
    <x v="2"/>
  </r>
  <r>
    <x v="0"/>
    <x v="2"/>
  </r>
  <r>
    <x v="0"/>
    <x v="3"/>
  </r>
  <r>
    <x v="0"/>
    <x v="1"/>
  </r>
  <r>
    <x v="0"/>
    <x v="4"/>
  </r>
  <r>
    <x v="0"/>
    <x v="4"/>
  </r>
  <r>
    <x v="0"/>
    <x v="0"/>
  </r>
  <r>
    <x v="0"/>
    <x v="1"/>
  </r>
  <r>
    <x v="0"/>
    <x v="2"/>
  </r>
  <r>
    <x v="0"/>
    <x v="2"/>
  </r>
  <r>
    <x v="0"/>
    <x v="0"/>
  </r>
  <r>
    <x v="0"/>
    <x v="3"/>
  </r>
  <r>
    <x v="0"/>
    <x v="4"/>
  </r>
  <r>
    <x v="0"/>
    <x v="3"/>
  </r>
  <r>
    <x v="0"/>
    <x v="3"/>
  </r>
  <r>
    <x v="0"/>
    <x v="2"/>
  </r>
  <r>
    <x v="0"/>
    <x v="3"/>
  </r>
  <r>
    <x v="0"/>
    <x v="3"/>
  </r>
  <r>
    <x v="0"/>
    <x v="4"/>
  </r>
  <r>
    <x v="0"/>
    <x v="1"/>
  </r>
  <r>
    <x v="0"/>
    <x v="2"/>
  </r>
  <r>
    <x v="0"/>
    <x v="3"/>
  </r>
  <r>
    <x v="0"/>
    <x v="1"/>
  </r>
  <r>
    <x v="0"/>
    <x v="1"/>
  </r>
  <r>
    <x v="0"/>
    <x v="2"/>
  </r>
  <r>
    <x v="0"/>
    <x v="1"/>
  </r>
  <r>
    <x v="0"/>
    <x v="1"/>
  </r>
  <r>
    <x v="0"/>
    <x v="3"/>
  </r>
  <r>
    <x v="1"/>
    <x v="3"/>
  </r>
  <r>
    <x v="1"/>
    <x v="1"/>
  </r>
  <r>
    <x v="1"/>
    <x v="0"/>
  </r>
  <r>
    <x v="1"/>
    <x v="2"/>
  </r>
  <r>
    <x v="1"/>
    <x v="1"/>
  </r>
  <r>
    <x v="1"/>
    <x v="2"/>
  </r>
  <r>
    <x v="1"/>
    <x v="3"/>
  </r>
  <r>
    <x v="1"/>
    <x v="1"/>
  </r>
  <r>
    <x v="1"/>
    <x v="1"/>
  </r>
  <r>
    <x v="1"/>
    <x v="3"/>
  </r>
  <r>
    <x v="1"/>
    <x v="2"/>
  </r>
  <r>
    <x v="1"/>
    <x v="1"/>
  </r>
  <r>
    <x v="1"/>
    <x v="1"/>
  </r>
  <r>
    <x v="1"/>
    <x v="1"/>
  </r>
  <r>
    <x v="1"/>
    <x v="1"/>
  </r>
  <r>
    <x v="1"/>
    <x v="1"/>
  </r>
  <r>
    <x v="1"/>
    <x v="0"/>
  </r>
  <r>
    <x v="1"/>
    <x v="1"/>
  </r>
  <r>
    <x v="1"/>
    <x v="1"/>
  </r>
  <r>
    <x v="1"/>
    <x v="2"/>
  </r>
  <r>
    <x v="1"/>
    <x v="3"/>
  </r>
  <r>
    <x v="1"/>
    <x v="3"/>
  </r>
  <r>
    <x v="1"/>
    <x v="4"/>
  </r>
  <r>
    <x v="1"/>
    <x v="4"/>
  </r>
  <r>
    <x v="1"/>
    <x v="3"/>
  </r>
  <r>
    <x v="1"/>
    <x v="4"/>
  </r>
  <r>
    <x v="1"/>
    <x v="0"/>
  </r>
  <r>
    <x v="1"/>
    <x v="0"/>
  </r>
  <r>
    <x v="1"/>
    <x v="2"/>
  </r>
  <r>
    <x v="1"/>
    <x v="3"/>
  </r>
  <r>
    <x v="1"/>
    <x v="3"/>
  </r>
  <r>
    <x v="1"/>
    <x v="4"/>
  </r>
  <r>
    <x v="1"/>
    <x v="3"/>
  </r>
  <r>
    <x v="1"/>
    <x v="3"/>
  </r>
  <r>
    <x v="1"/>
    <x v="2"/>
  </r>
  <r>
    <x v="1"/>
    <x v="1"/>
  </r>
  <r>
    <x v="1"/>
    <x v="2"/>
  </r>
  <r>
    <x v="1"/>
    <x v="3"/>
  </r>
  <r>
    <x v="1"/>
    <x v="3"/>
  </r>
  <r>
    <x v="1"/>
    <x v="3"/>
  </r>
  <r>
    <x v="1"/>
    <x v="3"/>
  </r>
  <r>
    <x v="1"/>
    <x v="3"/>
  </r>
  <r>
    <x v="1"/>
    <x v="1"/>
  </r>
  <r>
    <x v="1"/>
    <x v="0"/>
  </r>
  <r>
    <x v="1"/>
    <x v="0"/>
  </r>
  <r>
    <x v="1"/>
    <x v="2"/>
  </r>
  <r>
    <x v="1"/>
    <x v="3"/>
  </r>
  <r>
    <x v="1"/>
    <x v="3"/>
  </r>
  <r>
    <x v="1"/>
    <x v="3"/>
  </r>
  <r>
    <x v="1"/>
    <x v="4"/>
  </r>
  <r>
    <x v="1"/>
    <x v="0"/>
  </r>
  <r>
    <x v="1"/>
    <x v="2"/>
  </r>
  <r>
    <x v="2"/>
    <x v="1"/>
  </r>
  <r>
    <x v="2"/>
    <x v="0"/>
  </r>
  <r>
    <x v="2"/>
    <x v="3"/>
  </r>
  <r>
    <x v="2"/>
    <x v="1"/>
  </r>
  <r>
    <x v="2"/>
    <x v="2"/>
  </r>
  <r>
    <x v="2"/>
    <x v="0"/>
  </r>
  <r>
    <x v="2"/>
    <x v="2"/>
  </r>
  <r>
    <x v="2"/>
    <x v="1"/>
  </r>
  <r>
    <x v="2"/>
    <x v="0"/>
  </r>
  <r>
    <x v="2"/>
    <x v="3"/>
  </r>
  <r>
    <x v="2"/>
    <x v="1"/>
  </r>
  <r>
    <x v="2"/>
    <x v="1"/>
  </r>
  <r>
    <x v="2"/>
    <x v="2"/>
  </r>
  <r>
    <x v="2"/>
    <x v="0"/>
  </r>
  <r>
    <x v="2"/>
    <x v="1"/>
  </r>
  <r>
    <x v="2"/>
    <x v="0"/>
  </r>
  <r>
    <x v="2"/>
    <x v="1"/>
  </r>
  <r>
    <x v="2"/>
    <x v="4"/>
  </r>
  <r>
    <x v="2"/>
    <x v="3"/>
  </r>
  <r>
    <x v="2"/>
    <x v="4"/>
  </r>
  <r>
    <x v="2"/>
    <x v="2"/>
  </r>
  <r>
    <x v="2"/>
    <x v="2"/>
  </r>
  <r>
    <x v="2"/>
    <x v="3"/>
  </r>
  <r>
    <x v="2"/>
    <x v="3"/>
  </r>
  <r>
    <x v="2"/>
    <x v="1"/>
  </r>
  <r>
    <x v="2"/>
    <x v="3"/>
  </r>
  <r>
    <x v="2"/>
    <x v="1"/>
  </r>
  <r>
    <x v="2"/>
    <x v="3"/>
  </r>
  <r>
    <x v="2"/>
    <x v="0"/>
  </r>
  <r>
    <x v="2"/>
    <x v="3"/>
  </r>
  <r>
    <x v="3"/>
    <x v="3"/>
  </r>
  <r>
    <x v="3"/>
    <x v="1"/>
  </r>
  <r>
    <x v="3"/>
    <x v="1"/>
  </r>
  <r>
    <x v="3"/>
    <x v="0"/>
  </r>
  <r>
    <x v="3"/>
    <x v="1"/>
  </r>
  <r>
    <x v="3"/>
    <x v="2"/>
  </r>
  <r>
    <x v="3"/>
    <x v="4"/>
  </r>
  <r>
    <x v="3"/>
    <x v="4"/>
  </r>
  <r>
    <x v="3"/>
    <x v="0"/>
  </r>
  <r>
    <x v="3"/>
    <x v="1"/>
  </r>
  <r>
    <x v="3"/>
    <x v="1"/>
  </r>
  <r>
    <x v="3"/>
    <x v="1"/>
  </r>
  <r>
    <x v="3"/>
    <x v="1"/>
  </r>
  <r>
    <x v="3"/>
    <x v="1"/>
  </r>
  <r>
    <x v="3"/>
    <x v="1"/>
  </r>
  <r>
    <x v="3"/>
    <x v="1"/>
  </r>
  <r>
    <x v="3"/>
    <x v="1"/>
  </r>
  <r>
    <x v="3"/>
    <x v="3"/>
  </r>
  <r>
    <x v="3"/>
    <x v="1"/>
  </r>
  <r>
    <x v="3"/>
    <x v="1"/>
  </r>
  <r>
    <x v="3"/>
    <x v="2"/>
  </r>
  <r>
    <x v="3"/>
    <x v="0"/>
  </r>
  <r>
    <x v="3"/>
    <x v="1"/>
  </r>
  <r>
    <x v="3"/>
    <x v="1"/>
  </r>
  <r>
    <x v="3"/>
    <x v="0"/>
  </r>
  <r>
    <x v="3"/>
    <x v="3"/>
  </r>
  <r>
    <x v="3"/>
    <x v="1"/>
  </r>
  <r>
    <x v="3"/>
    <x v="1"/>
  </r>
  <r>
    <x v="3"/>
    <x v="0"/>
  </r>
  <r>
    <x v="3"/>
    <x v="2"/>
  </r>
  <r>
    <x v="3"/>
    <x v="0"/>
  </r>
  <r>
    <x v="3"/>
    <x v="3"/>
  </r>
  <r>
    <x v="4"/>
    <x v="3"/>
  </r>
  <r>
    <x v="4"/>
    <x v="1"/>
  </r>
  <r>
    <x v="4"/>
    <x v="1"/>
  </r>
  <r>
    <x v="4"/>
    <x v="2"/>
  </r>
  <r>
    <x v="4"/>
    <x v="4"/>
  </r>
  <r>
    <x v="4"/>
    <x v="1"/>
  </r>
  <r>
    <x v="4"/>
    <x v="2"/>
  </r>
  <r>
    <x v="4"/>
    <x v="3"/>
  </r>
  <r>
    <x v="4"/>
    <x v="4"/>
  </r>
  <r>
    <x v="4"/>
    <x v="1"/>
  </r>
  <r>
    <x v="4"/>
    <x v="3"/>
  </r>
  <r>
    <x v="4"/>
    <x v="1"/>
  </r>
  <r>
    <x v="4"/>
    <x v="1"/>
  </r>
  <r>
    <x v="4"/>
    <x v="2"/>
  </r>
  <r>
    <x v="4"/>
    <x v="4"/>
  </r>
  <r>
    <x v="4"/>
    <x v="0"/>
  </r>
  <r>
    <x v="4"/>
    <x v="3"/>
  </r>
  <r>
    <x v="4"/>
    <x v="0"/>
  </r>
  <r>
    <x v="4"/>
    <x v="1"/>
  </r>
  <r>
    <x v="4"/>
    <x v="1"/>
  </r>
  <r>
    <x v="4"/>
    <x v="4"/>
  </r>
  <r>
    <x v="4"/>
    <x v="2"/>
  </r>
  <r>
    <x v="4"/>
    <x v="2"/>
  </r>
  <r>
    <x v="4"/>
    <x v="0"/>
  </r>
  <r>
    <x v="4"/>
    <x v="4"/>
  </r>
  <r>
    <x v="4"/>
    <x v="1"/>
  </r>
  <r>
    <x v="4"/>
    <x v="1"/>
  </r>
  <r>
    <x v="4"/>
    <x v="1"/>
  </r>
  <r>
    <x v="4"/>
    <x v="2"/>
  </r>
  <r>
    <x v="4"/>
    <x v="0"/>
  </r>
  <r>
    <x v="4"/>
    <x v="0"/>
  </r>
  <r>
    <x v="5"/>
    <x v="1"/>
  </r>
  <r>
    <x v="5"/>
    <x v="2"/>
  </r>
  <r>
    <x v="5"/>
    <x v="4"/>
  </r>
  <r>
    <x v="5"/>
    <x v="3"/>
  </r>
  <r>
    <x v="5"/>
    <x v="4"/>
  </r>
  <r>
    <x v="5"/>
    <x v="0"/>
  </r>
  <r>
    <x v="5"/>
    <x v="0"/>
  </r>
  <r>
    <x v="5"/>
    <x v="1"/>
  </r>
  <r>
    <x v="5"/>
    <x v="4"/>
  </r>
  <r>
    <x v="5"/>
    <x v="1"/>
  </r>
  <r>
    <x v="5"/>
    <x v="0"/>
  </r>
  <r>
    <x v="5"/>
    <x v="2"/>
  </r>
  <r>
    <x v="5"/>
    <x v="2"/>
  </r>
  <r>
    <x v="5"/>
    <x v="2"/>
  </r>
  <r>
    <x v="5"/>
    <x v="2"/>
  </r>
  <r>
    <x v="5"/>
    <x v="4"/>
  </r>
  <r>
    <x v="5"/>
    <x v="0"/>
  </r>
  <r>
    <x v="5"/>
    <x v="3"/>
  </r>
  <r>
    <x v="5"/>
    <x v="4"/>
  </r>
  <r>
    <x v="5"/>
    <x v="0"/>
  </r>
  <r>
    <x v="5"/>
    <x v="0"/>
  </r>
  <r>
    <x v="5"/>
    <x v="0"/>
  </r>
  <r>
    <x v="5"/>
    <x v="0"/>
  </r>
  <r>
    <x v="5"/>
    <x v="0"/>
  </r>
  <r>
    <x v="5"/>
    <x v="4"/>
  </r>
  <r>
    <x v="5"/>
    <x v="3"/>
  </r>
  <r>
    <x v="5"/>
    <x v="0"/>
  </r>
  <r>
    <x v="5"/>
    <x v="2"/>
  </r>
  <r>
    <x v="5"/>
    <x v="2"/>
  </r>
  <r>
    <x v="5"/>
    <x v="2"/>
  </r>
  <r>
    <x v="5"/>
    <x v="3"/>
  </r>
  <r>
    <x v="5"/>
    <x v="3"/>
  </r>
  <r>
    <x v="5"/>
    <x v="3"/>
  </r>
  <r>
    <x v="5"/>
    <x v="2"/>
  </r>
  <r>
    <x v="5"/>
    <x v="1"/>
  </r>
  <r>
    <x v="5"/>
    <x v="3"/>
  </r>
  <r>
    <x v="5"/>
    <x v="2"/>
  </r>
  <r>
    <x v="5"/>
    <x v="2"/>
  </r>
  <r>
    <x v="5"/>
    <x v="1"/>
  </r>
  <r>
    <x v="5"/>
    <x v="4"/>
  </r>
  <r>
    <x v="5"/>
    <x v="3"/>
  </r>
  <r>
    <x v="5"/>
    <x v="0"/>
  </r>
  <r>
    <x v="5"/>
    <x v="3"/>
  </r>
  <r>
    <x v="5"/>
    <x v="2"/>
  </r>
  <r>
    <x v="5"/>
    <x v="4"/>
  </r>
  <r>
    <x v="5"/>
    <x v="3"/>
  </r>
  <r>
    <x v="5"/>
    <x v="2"/>
  </r>
  <r>
    <x v="5"/>
    <x v="1"/>
  </r>
  <r>
    <x v="5"/>
    <x v="4"/>
  </r>
  <r>
    <x v="5"/>
    <x v="1"/>
  </r>
  <r>
    <x v="5"/>
    <x v="0"/>
  </r>
  <r>
    <x v="5"/>
    <x v="1"/>
  </r>
  <r>
    <x v="5"/>
    <x v="3"/>
  </r>
  <r>
    <x v="5"/>
    <x v="1"/>
  </r>
  <r>
    <x v="5"/>
    <x v="2"/>
  </r>
  <r>
    <x v="5"/>
    <x v="1"/>
  </r>
  <r>
    <x v="5"/>
    <x v="1"/>
  </r>
  <r>
    <x v="5"/>
    <x v="1"/>
  </r>
  <r>
    <x v="5"/>
    <x v="2"/>
  </r>
  <r>
    <x v="5"/>
    <x v="3"/>
  </r>
  <r>
    <x v="5"/>
    <x v="2"/>
  </r>
  <r>
    <x v="5"/>
    <x v="3"/>
  </r>
  <r>
    <x v="5"/>
    <x v="4"/>
  </r>
  <r>
    <x v="5"/>
    <x v="3"/>
  </r>
  <r>
    <x v="5"/>
    <x v="3"/>
  </r>
  <r>
    <x v="5"/>
    <x v="0"/>
  </r>
  <r>
    <x v="5"/>
    <x v="0"/>
  </r>
  <r>
    <x v="5"/>
    <x v="4"/>
  </r>
  <r>
    <x v="5"/>
    <x v="2"/>
  </r>
  <r>
    <x v="5"/>
    <x v="3"/>
  </r>
  <r>
    <x v="5"/>
    <x v="4"/>
  </r>
  <r>
    <x v="5"/>
    <x v="0"/>
  </r>
  <r>
    <x v="5"/>
    <x v="2"/>
  </r>
  <r>
    <x v="5"/>
    <x v="4"/>
  </r>
  <r>
    <x v="5"/>
    <x v="1"/>
  </r>
  <r>
    <x v="5"/>
    <x v="2"/>
  </r>
  <r>
    <x v="5"/>
    <x v="1"/>
  </r>
  <r>
    <x v="5"/>
    <x v="4"/>
  </r>
  <r>
    <x v="5"/>
    <x v="2"/>
  </r>
  <r>
    <x v="5"/>
    <x v="4"/>
  </r>
  <r>
    <x v="5"/>
    <x v="2"/>
  </r>
  <r>
    <x v="5"/>
    <x v="3"/>
  </r>
  <r>
    <x v="5"/>
    <x v="4"/>
  </r>
  <r>
    <x v="5"/>
    <x v="4"/>
  </r>
  <r>
    <x v="5"/>
    <x v="4"/>
  </r>
  <r>
    <x v="5"/>
    <x v="4"/>
  </r>
  <r>
    <x v="5"/>
    <x v="4"/>
  </r>
  <r>
    <x v="5"/>
    <x v="3"/>
  </r>
  <r>
    <x v="5"/>
    <x v="0"/>
  </r>
  <r>
    <x v="5"/>
    <x v="3"/>
  </r>
  <r>
    <x v="5"/>
    <x v="4"/>
  </r>
  <r>
    <x v="5"/>
    <x v="4"/>
  </r>
  <r>
    <x v="5"/>
    <x v="0"/>
  </r>
  <r>
    <x v="5"/>
    <x v="1"/>
  </r>
  <r>
    <x v="5"/>
    <x v="0"/>
  </r>
  <r>
    <x v="5"/>
    <x v="2"/>
  </r>
  <r>
    <x v="5"/>
    <x v="1"/>
  </r>
  <r>
    <x v="5"/>
    <x v="1"/>
  </r>
  <r>
    <x v="5"/>
    <x v="0"/>
  </r>
  <r>
    <x v="5"/>
    <x v="1"/>
  </r>
  <r>
    <x v="5"/>
    <x v="2"/>
  </r>
  <r>
    <x v="5"/>
    <x v="3"/>
  </r>
  <r>
    <x v="5"/>
    <x v="0"/>
  </r>
  <r>
    <x v="5"/>
    <x v="4"/>
  </r>
  <r>
    <x v="5"/>
    <x v="3"/>
  </r>
  <r>
    <x v="5"/>
    <x v="3"/>
  </r>
  <r>
    <x v="5"/>
    <x v="4"/>
  </r>
  <r>
    <x v="5"/>
    <x v="0"/>
  </r>
  <r>
    <x v="5"/>
    <x v="3"/>
  </r>
  <r>
    <x v="5"/>
    <x v="3"/>
  </r>
  <r>
    <x v="5"/>
    <x v="3"/>
  </r>
  <r>
    <x v="5"/>
    <x v="2"/>
  </r>
  <r>
    <x v="5"/>
    <x v="3"/>
  </r>
  <r>
    <x v="5"/>
    <x v="2"/>
  </r>
  <r>
    <x v="5"/>
    <x v="1"/>
  </r>
  <r>
    <x v="5"/>
    <x v="1"/>
  </r>
  <r>
    <x v="5"/>
    <x v="0"/>
  </r>
  <r>
    <x v="5"/>
    <x v="3"/>
  </r>
  <r>
    <x v="5"/>
    <x v="2"/>
  </r>
  <r>
    <x v="5"/>
    <x v="4"/>
  </r>
  <r>
    <x v="5"/>
    <x v="2"/>
  </r>
  <r>
    <x v="5"/>
    <x v="3"/>
  </r>
  <r>
    <x v="5"/>
    <x v="4"/>
  </r>
  <r>
    <x v="5"/>
    <x v="3"/>
  </r>
  <r>
    <x v="5"/>
    <x v="0"/>
  </r>
  <r>
    <x v="5"/>
    <x v="2"/>
  </r>
  <r>
    <x v="5"/>
    <x v="0"/>
  </r>
  <r>
    <x v="5"/>
    <x v="3"/>
  </r>
  <r>
    <x v="5"/>
    <x v="2"/>
  </r>
  <r>
    <x v="5"/>
    <x v="3"/>
  </r>
  <r>
    <x v="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02ED1F-8DC2-40E4-BCF9-BD15CCC0D376}" name="TablaDinámica2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3:C9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descending">
      <items count="6">
        <item x="1"/>
        <item x="0"/>
        <item x="3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9"/>
  </rowFields>
  <rowItems count="6">
    <i>
      <x/>
    </i>
    <i>
      <x v="1"/>
    </i>
    <i>
      <x v="4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de Horas de Dedicación Semanal (Valor Absoluto, entero)" fld="19" subtotal="count" baseField="0" baseItem="0"/>
    <dataField name="Valor Relativo (porcentaje)" fld="19" subtotal="count" showDataAs="percentOfTotal" baseField="0" baseItem="0" numFmtId="10"/>
  </dataFields>
  <formats count="7">
    <format dxfId="316">
      <pivotArea outline="0" collapsedLevelsAreSubtotals="1" fieldPosition="0"/>
    </format>
    <format dxfId="317">
      <pivotArea dataOnly="0" labelOnly="1" outline="0" fieldPosition="0">
        <references count="1">
          <reference field="19" count="0"/>
        </references>
      </pivotArea>
    </format>
    <format dxfId="318">
      <pivotArea dataOnly="0" labelOnly="1" grandRow="1" outline="0" fieldPosition="0"/>
    </format>
    <format dxfId="319">
      <pivotArea field="19" type="button" dataOnly="0" labelOnly="1" outline="0" axis="axisRow" fieldPosition="0"/>
    </format>
    <format dxfId="320">
      <pivotArea dataOnly="0" labelOnly="1" outline="0" axis="axisValues" fieldPosition="0"/>
    </format>
    <format dxfId="321">
      <pivotArea dataOnly="0" labelOnly="1" outline="0" axis="axisValues" fieldPosition="0"/>
    </format>
    <format dxfId="32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2">
    <chartFormat chart="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19" count="1" selected="0">
            <x v="0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1"/>
          </reference>
          <reference field="19" count="1" selected="0">
            <x v="1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19" count="1" selected="0">
            <x v="4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1"/>
          </reference>
          <reference field="19" count="1" selected="0">
            <x v="2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19" count="1" selected="0">
            <x v="3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A818BD-D121-4D3A-8453-F33EB0AA917A}" name="TablaDinámica3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A4:B9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 sortType="ascending">
      <items count="5">
        <item x="0"/>
        <item x="2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6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Frecuencia de Género" fld="6" subtotal="count" baseField="0" baseItem="0"/>
  </dataFields>
  <formats count="5">
    <format dxfId="311">
      <pivotArea outline="0" collapsedLevelsAreSubtotals="1" fieldPosition="0"/>
    </format>
    <format dxfId="312">
      <pivotArea dataOnly="0" labelOnly="1" outline="0" axis="axisValues" fieldPosition="0"/>
    </format>
    <format dxfId="313">
      <pivotArea dataOnly="0" labelOnly="1" outline="0" fieldPosition="0">
        <references count="1">
          <reference field="6" count="0"/>
        </references>
      </pivotArea>
    </format>
    <format dxfId="314">
      <pivotArea dataOnly="0" labelOnly="1" grandRow="1" outline="0" fieldPosition="0"/>
    </format>
    <format dxfId="315">
      <pivotArea field="6" type="button" dataOnly="0" labelOnly="1" outline="0" axis="axisRow" fieldPosition="0"/>
    </format>
  </formats>
  <chartFormats count="4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A2B85-687E-4E8C-B02B-CB09AF4FCBE9}" name="TablaDinámica4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:C10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/>
    <pivotField axis="axisRow" dataField="1"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" fld="12" subtotal="count" baseField="0" baseItem="0"/>
    <dataField name="%" fld="12" subtotal="count" showDataAs="percentOfTotal" baseField="0" baseItem="0" numFmtId="10"/>
  </dataFields>
  <formats count="13">
    <format dxfId="298">
      <pivotArea type="all" dataOnly="0" outline="0" fieldPosition="0"/>
    </format>
    <format dxfId="299">
      <pivotArea outline="0" collapsedLevelsAreSubtotals="1" fieldPosition="0"/>
    </format>
    <format dxfId="300">
      <pivotArea field="12" type="button" dataOnly="0" labelOnly="1" outline="0" axis="axisRow" fieldPosition="0"/>
    </format>
    <format dxfId="301">
      <pivotArea dataOnly="0" labelOnly="1" outline="0" fieldPosition="0">
        <references count="1">
          <reference field="12" count="0"/>
        </references>
      </pivotArea>
    </format>
    <format dxfId="302">
      <pivotArea dataOnly="0" labelOnly="1" grandRow="1" outline="0" fieldPosition="0"/>
    </format>
    <format dxfId="3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04">
      <pivotArea type="all" dataOnly="0" outline="0" fieldPosition="0"/>
    </format>
    <format dxfId="305">
      <pivotArea outline="0" collapsedLevelsAreSubtotals="1" fieldPosition="0"/>
    </format>
    <format dxfId="306">
      <pivotArea field="12" type="button" dataOnly="0" labelOnly="1" outline="0" axis="axisRow" fieldPosition="0"/>
    </format>
    <format dxfId="307">
      <pivotArea dataOnly="0" labelOnly="1" outline="0" fieldPosition="0">
        <references count="1">
          <reference field="12" count="0"/>
        </references>
      </pivotArea>
    </format>
    <format dxfId="308">
      <pivotArea dataOnly="0" labelOnly="1" grandRow="1" outline="0" fieldPosition="0"/>
    </format>
    <format dxfId="30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0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BC4EC-DF20-4D9A-8D7D-B0526F1505A9}" name="TablaDinámica4" cacheId="4998" applyNumberFormats="0" applyBorderFormats="0" applyFontFormats="0" applyPatternFormats="0" applyAlignmentFormats="0" applyWidthHeightFormats="1" dataCaption="Valores" updatedVersion="8" minRefreshableVersion="3" showDrill="0" useAutoFormatting="1" rowGrandTotals="0" itemPrintTitles="1" createdVersion="8" indent="0" compact="0" compactData="0" multipleFieldFilters="0">
  <location ref="B4:B106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65" outline="0" showAll="0">
      <items count="103">
        <item x="7"/>
        <item x="29"/>
        <item x="43"/>
        <item x="27"/>
        <item x="56"/>
        <item x="6"/>
        <item x="2"/>
        <item x="70"/>
        <item x="42"/>
        <item x="16"/>
        <item x="51"/>
        <item x="21"/>
        <item x="3"/>
        <item x="1"/>
        <item x="71"/>
        <item x="5"/>
        <item x="54"/>
        <item x="37"/>
        <item x="93"/>
        <item x="90"/>
        <item x="83"/>
        <item x="81"/>
        <item x="73"/>
        <item x="62"/>
        <item x="22"/>
        <item x="49"/>
        <item x="58"/>
        <item x="57"/>
        <item x="44"/>
        <item x="8"/>
        <item x="25"/>
        <item x="17"/>
        <item x="63"/>
        <item x="12"/>
        <item x="20"/>
        <item x="32"/>
        <item x="72"/>
        <item x="61"/>
        <item x="24"/>
        <item x="10"/>
        <item x="4"/>
        <item x="98"/>
        <item x="36"/>
        <item x="15"/>
        <item x="59"/>
        <item x="60"/>
        <item x="33"/>
        <item x="85"/>
        <item x="46"/>
        <item x="13"/>
        <item x="40"/>
        <item x="45"/>
        <item x="64"/>
        <item x="48"/>
        <item x="9"/>
        <item x="91"/>
        <item x="23"/>
        <item x="75"/>
        <item x="88"/>
        <item x="0"/>
        <item x="14"/>
        <item x="55"/>
        <item x="52"/>
        <item x="38"/>
        <item x="30"/>
        <item x="35"/>
        <item x="19"/>
        <item x="47"/>
        <item x="26"/>
        <item x="41"/>
        <item x="95"/>
        <item x="69"/>
        <item x="78"/>
        <item x="79"/>
        <item x="80"/>
        <item x="76"/>
        <item x="82"/>
        <item x="74"/>
        <item x="18"/>
        <item x="34"/>
        <item x="28"/>
        <item x="65"/>
        <item x="50"/>
        <item x="94"/>
        <item x="99"/>
        <item x="77"/>
        <item x="84"/>
        <item x="39"/>
        <item x="92"/>
        <item x="97"/>
        <item x="11"/>
        <item x="89"/>
        <item x="86"/>
        <item x="31"/>
        <item x="68"/>
        <item x="66"/>
        <item x="53"/>
        <item x="87"/>
        <item x="100"/>
        <item x="67"/>
        <item x="96"/>
        <item x="101"/>
        <item t="default"/>
      </items>
    </pivotField>
    <pivotField compact="0" outline="0" showAll="0"/>
    <pivotField compact="0" numFmtId="14" outline="0" showAll="0"/>
  </pivotFields>
  <rowFields count="1">
    <field x="25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</rowItems>
  <colItems count="1">
    <i/>
  </colItems>
  <formats count="18">
    <format dxfId="280">
      <pivotArea type="all" dataOnly="0" outline="0" fieldPosition="0"/>
    </format>
    <format dxfId="281">
      <pivotArea field="25" type="button" dataOnly="0" labelOnly="1" outline="0" axis="axisRow" fieldPosition="0"/>
    </format>
    <format dxfId="282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3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84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  <format dxfId="285">
      <pivotArea dataOnly="0" labelOnly="1" grandRow="1" outline="0" fieldPosition="0"/>
    </format>
    <format dxfId="286">
      <pivotArea type="all" dataOnly="0" outline="0" fieldPosition="0"/>
    </format>
    <format dxfId="287">
      <pivotArea field="25" type="button" dataOnly="0" labelOnly="1" outline="0" axis="axisRow" fieldPosition="0"/>
    </format>
    <format dxfId="288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89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90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  <format dxfId="291">
      <pivotArea dataOnly="0" labelOnly="1" grandRow="1" outline="0" fieldPosition="0"/>
    </format>
    <format dxfId="292">
      <pivotArea dataOnly="0" labelOnly="1" outline="0" fieldPosition="0">
        <references count="1">
          <reference field="25" count="1">
            <x v="1"/>
          </reference>
        </references>
      </pivotArea>
    </format>
    <format dxfId="293">
      <pivotArea type="all" dataOnly="0" outline="0" fieldPosition="0"/>
    </format>
    <format dxfId="294">
      <pivotArea field="25" type="button" dataOnly="0" labelOnly="1" outline="0" axis="axisRow" fieldPosition="0"/>
    </format>
    <format dxfId="295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6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97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E53F00-EFEA-43DE-ADDB-4A7CE5608012}" name="TablaDinámica8" cacheId="50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D164:F201" firstHeaderRow="1" firstDataRow="1" firstDataCol="2"/>
  <pivotFields count="2"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dataField="1" compact="0" outline="0" showAll="0">
      <items count="6">
        <item x="2"/>
        <item x="1"/>
        <item x="0"/>
        <item x="4"/>
        <item x="3"/>
        <item t="default"/>
      </items>
    </pivotField>
  </pivotFields>
  <rowFields count="2">
    <field x="0"/>
    <field x="1"/>
  </rowFields>
  <rowItems count="37">
    <i>
      <x/>
      <x/>
    </i>
    <i r="1">
      <x v="1"/>
    </i>
    <i r="1">
      <x v="2"/>
    </i>
    <i r="1">
      <x v="3"/>
    </i>
    <i r="1">
      <x v="4"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>
      <x v="4"/>
      <x/>
    </i>
    <i r="1">
      <x v="1"/>
    </i>
    <i r="1">
      <x v="2"/>
    </i>
    <i r="1">
      <x v="3"/>
    </i>
    <i r="1">
      <x v="4"/>
    </i>
    <i t="default">
      <x v="4"/>
    </i>
    <i>
      <x v="5"/>
      <x/>
    </i>
    <i r="1">
      <x v="1"/>
    </i>
    <i r="1">
      <x v="2"/>
    </i>
    <i r="1">
      <x v="3"/>
    </i>
    <i r="1">
      <x v="4"/>
    </i>
    <i t="default">
      <x v="5"/>
    </i>
    <i t="grand">
      <x/>
    </i>
  </rowItems>
  <colItems count="1">
    <i/>
  </colItems>
  <dataFields count="1">
    <dataField name="Cuenta de Interés en Participar" fld="1" subtotal="count" baseField="0" baseItem="0"/>
  </dataFields>
  <formats count="15">
    <format dxfId="265">
      <pivotArea type="all" dataOnly="0" outline="0" fieldPosition="0"/>
    </format>
    <format dxfId="266">
      <pivotArea outline="0" collapsedLevelsAreSubtotals="1" fieldPosition="0"/>
    </format>
    <format dxfId="267">
      <pivotArea field="0" type="button" dataOnly="0" labelOnly="1" outline="0" axis="axisRow" fieldPosition="0"/>
    </format>
    <format dxfId="268">
      <pivotArea field="1" type="button" dataOnly="0" labelOnly="1" outline="0" axis="axisRow" fieldPosition="1"/>
    </format>
    <format dxfId="269">
      <pivotArea dataOnly="0" labelOnly="1" outline="0" fieldPosition="0">
        <references count="1">
          <reference field="0" count="0"/>
        </references>
      </pivotArea>
    </format>
    <format dxfId="270">
      <pivotArea dataOnly="0" labelOnly="1" outline="0" fieldPosition="0">
        <references count="1">
          <reference field="0" count="0" defaultSubtotal="1"/>
        </references>
      </pivotArea>
    </format>
    <format dxfId="271">
      <pivotArea dataOnly="0" labelOnly="1" grandRow="1" outline="0" fieldPosition="0"/>
    </format>
    <format dxfId="272">
      <pivotArea dataOnly="0" labelOnly="1" outline="0" fieldPosition="0">
        <references count="2">
          <reference field="0" count="1" selected="0">
            <x v="0"/>
          </reference>
          <reference field="1" count="0"/>
        </references>
      </pivotArea>
    </format>
    <format dxfId="273">
      <pivotArea dataOnly="0" labelOnly="1" outline="0" fieldPosition="0">
        <references count="2">
          <reference field="0" count="1" selected="0">
            <x v="1"/>
          </reference>
          <reference field="1" count="0"/>
        </references>
      </pivotArea>
    </format>
    <format dxfId="274">
      <pivotArea dataOnly="0" labelOnly="1" outline="0" fieldPosition="0">
        <references count="2">
          <reference field="0" count="1" selected="0">
            <x v="2"/>
          </reference>
          <reference field="1" count="0"/>
        </references>
      </pivotArea>
    </format>
    <format dxfId="275">
      <pivotArea dataOnly="0" labelOnly="1" outline="0" fieldPosition="0">
        <references count="2">
          <reference field="0" count="1" selected="0">
            <x v="3"/>
          </reference>
          <reference field="1" count="0"/>
        </references>
      </pivotArea>
    </format>
    <format dxfId="276">
      <pivotArea dataOnly="0" labelOnly="1" outline="0" fieldPosition="0">
        <references count="2">
          <reference field="0" count="1" selected="0">
            <x v="4"/>
          </reference>
          <reference field="1" count="0"/>
        </references>
      </pivotArea>
    </format>
    <format dxfId="277">
      <pivotArea dataOnly="0" labelOnly="1" outline="0" fieldPosition="0">
        <references count="2">
          <reference field="0" count="1" selected="0">
            <x v="5"/>
          </reference>
          <reference field="1" count="0"/>
        </references>
      </pivotArea>
    </format>
    <format dxfId="278">
      <pivotArea dataOnly="0" labelOnly="1" outline="0" axis="axisValues" fieldPosition="0"/>
    </format>
    <format dxfId="279">
      <pivotArea dataOnly="0" labelOnly="1" outline="0" fieldPosition="0">
        <references count="1">
          <reference field="0" count="1" defaultSubtotal="1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F08177-879B-44BE-9FEC-CB6EDE10D3EE}" name="TablaDinámica2" cacheId="499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B115:D120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0"/>
        <item x="3"/>
        <item x="4"/>
        <item x="2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Fields count="1">
    <field x="-2"/>
  </colFields>
  <colItems count="2">
    <i>
      <x/>
    </i>
    <i i="1">
      <x v="1"/>
    </i>
  </colItems>
  <dataFields count="2">
    <dataField name="Frecuencia" fld="13" subtotal="count" baseField="0" baseItem="0"/>
    <dataField name="%" fld="13" subtotal="count" showDataAs="percentOfTotal" baseField="0" baseItem="0" numFmtId="10"/>
  </dataFields>
  <formats count="12">
    <format dxfId="2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54">
      <pivotArea field="13" type="button" dataOnly="0" labelOnly="1" outline="0" axis="axisRow" fieldPosition="0"/>
    </format>
    <format dxfId="255">
      <pivotArea type="all" dataOnly="0" outline="0" fieldPosition="0"/>
    </format>
    <format dxfId="256">
      <pivotArea outline="0" collapsedLevelsAreSubtotals="1" fieldPosition="0"/>
    </format>
    <format dxfId="257">
      <pivotArea field="13" type="button" dataOnly="0" labelOnly="1" outline="0" axis="axisRow" fieldPosition="0"/>
    </format>
    <format dxfId="258">
      <pivotArea dataOnly="0" labelOnly="1" outline="0" fieldPosition="0">
        <references count="1">
          <reference field="13" count="0"/>
        </references>
      </pivotArea>
    </format>
    <format dxfId="2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0">
      <pivotArea type="all" dataOnly="0" outline="0" fieldPosition="0"/>
    </format>
    <format dxfId="261">
      <pivotArea outline="0" collapsedLevelsAreSubtotals="1" fieldPosition="0"/>
    </format>
    <format dxfId="262">
      <pivotArea field="13" type="button" dataOnly="0" labelOnly="1" outline="0" axis="axisRow" fieldPosition="0"/>
    </format>
    <format dxfId="263">
      <pivotArea dataOnly="0" labelOnly="1" outline="0" fieldPosition="0">
        <references count="1">
          <reference field="13" count="0"/>
        </references>
      </pivotArea>
    </format>
    <format dxfId="264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B84C3-D29A-4165-B9CA-5AAA76859A13}" name="TablaDinámica1" cacheId="4998" applyNumberFormats="0" applyBorderFormats="0" applyFontFormats="0" applyPatternFormats="0" applyAlignmentFormats="0" applyWidthHeightFormats="1" dataCaption="Valores" missingCaption="0" updatedVersion="8" minRefreshableVersion="3" useAutoFormatting="1" rowGrandTotals="0" colGrandTotals="0" itemPrintTitles="1" createdVersion="8" indent="0" compact="0" compactData="0" multipleFieldFilters="0" chartFormat="1">
  <location ref="A4:E10" firstHeaderRow="1" firstDataRow="2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axis="axisRow" compact="0" numFmtId="14" outline="0" showAll="0">
      <items count="6">
        <item x="4"/>
        <item x="0"/>
        <item x="1"/>
        <item x="2"/>
        <item x="3"/>
        <item t="default"/>
      </items>
    </pivotField>
  </pivotFields>
  <rowFields count="1">
    <field x="27"/>
  </rowFields>
  <rowItems count="5">
    <i>
      <x/>
    </i>
    <i>
      <x v="1"/>
    </i>
    <i>
      <x v="2"/>
    </i>
    <i>
      <x v="3"/>
    </i>
    <i>
      <x v="4"/>
    </i>
  </rowItems>
  <colFields count="1">
    <field x="5"/>
  </colFields>
  <colItems count="4">
    <i>
      <x/>
    </i>
    <i>
      <x v="1"/>
    </i>
    <i>
      <x v="2"/>
    </i>
    <i>
      <x v="3"/>
    </i>
  </colItems>
  <dataFields count="1">
    <dataField name="Encuestas por encuestador" fld="5" subtotal="count" baseField="0" baseItem="0"/>
  </dataFields>
  <formats count="23">
    <format dxfId="230">
      <pivotArea type="all" dataOnly="0" outline="0" fieldPosition="0"/>
    </format>
    <format dxfId="231">
      <pivotArea outline="0" collapsedLevelsAreSubtotals="1" fieldPosition="0"/>
    </format>
    <format dxfId="232">
      <pivotArea field="27" type="button" dataOnly="0" labelOnly="1" outline="0" axis="axisRow" fieldPosition="0"/>
    </format>
    <format dxfId="233">
      <pivotArea dataOnly="0" labelOnly="1" outline="0" fieldPosition="0">
        <references count="1">
          <reference field="27" count="0"/>
        </references>
      </pivotArea>
    </format>
    <format dxfId="234">
      <pivotArea dataOnly="0" labelOnly="1" outline="0" fieldPosition="0">
        <references count="1">
          <reference field="5" count="0"/>
        </references>
      </pivotArea>
    </format>
    <format dxfId="235">
      <pivotArea field="27" type="button" dataOnly="0" labelOnly="1" outline="0" axis="axisRow" fieldPosition="0"/>
    </format>
    <format dxfId="236">
      <pivotArea dataOnly="0" labelOnly="1" outline="0" fieldPosition="0">
        <references count="1">
          <reference field="27" count="0"/>
        </references>
      </pivotArea>
    </format>
    <format dxfId="237">
      <pivotArea type="origin" dataOnly="0" labelOnly="1" outline="0" fieldPosition="0"/>
    </format>
    <format dxfId="238">
      <pivotArea type="origin" dataOnly="0" labelOnly="1" outline="0" fieldPosition="0"/>
    </format>
    <format dxfId="239">
      <pivotArea type="origin" dataOnly="0" labelOnly="1" outline="0" fieldPosition="0"/>
    </format>
    <format dxfId="240">
      <pivotArea type="origin" dataOnly="0" labelOnly="1" outline="0" fieldPosition="0"/>
    </format>
    <format dxfId="241">
      <pivotArea field="5" type="button" dataOnly="0" labelOnly="1" outline="0" axis="axisCol" fieldPosition="0"/>
    </format>
    <format dxfId="242">
      <pivotArea type="topRight" dataOnly="0" labelOnly="1" outline="0" fieldPosition="0"/>
    </format>
    <format dxfId="243">
      <pivotArea outline="0" collapsedLevelsAreSubtotals="1" fieldPosition="0"/>
    </format>
    <format dxfId="244">
      <pivotArea dataOnly="0" labelOnly="1" outline="0" fieldPosition="0">
        <references count="1">
          <reference field="5" count="0"/>
        </references>
      </pivotArea>
    </format>
    <format dxfId="245">
      <pivotArea type="all" dataOnly="0" outline="0" fieldPosition="0"/>
    </format>
    <format dxfId="246">
      <pivotArea outline="0" collapsedLevelsAreSubtotals="1" fieldPosition="0"/>
    </format>
    <format dxfId="247">
      <pivotArea type="origin" dataOnly="0" labelOnly="1" outline="0" fieldPosition="0"/>
    </format>
    <format dxfId="248">
      <pivotArea field="5" type="button" dataOnly="0" labelOnly="1" outline="0" axis="axisCol" fieldPosition="0"/>
    </format>
    <format dxfId="249">
      <pivotArea type="topRight" dataOnly="0" labelOnly="1" outline="0" fieldPosition="0"/>
    </format>
    <format dxfId="250">
      <pivotArea field="27" type="button" dataOnly="0" labelOnly="1" outline="0" axis="axisRow" fieldPosition="0"/>
    </format>
    <format dxfId="251">
      <pivotArea dataOnly="0" labelOnly="1" outline="0" fieldPosition="0">
        <references count="1">
          <reference field="27" count="0"/>
        </references>
      </pivotArea>
    </format>
    <format dxfId="252">
      <pivotArea dataOnly="0" labelOnly="1" outline="0" fieldPosition="0">
        <references count="1">
          <reference field="5" count="0"/>
        </references>
      </pivotArea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27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AF99D7-01E1-4BF2-91D3-8C590D062A37}" name="TablaDinámica2" cacheId="499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>
  <location ref="A28:B33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axis="axisRow" dataField="1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6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Frecuencia" fld="16" subtotal="count" baseField="0" baseItem="0"/>
  </dataFields>
  <formats count="11">
    <format dxfId="219">
      <pivotArea dataOnly="0" labelOnly="1" outline="0" axis="axisValues" fieldPosition="0"/>
    </format>
    <format dxfId="220">
      <pivotArea type="all" dataOnly="0" outline="0" fieldPosition="0"/>
    </format>
    <format dxfId="221">
      <pivotArea outline="0" collapsedLevelsAreSubtotals="1" fieldPosition="0"/>
    </format>
    <format dxfId="222">
      <pivotArea field="16" type="button" dataOnly="0" labelOnly="1" outline="0" axis="axisRow" fieldPosition="0"/>
    </format>
    <format dxfId="223">
      <pivotArea dataOnly="0" labelOnly="1" outline="0" fieldPosition="0">
        <references count="1">
          <reference field="16" count="0"/>
        </references>
      </pivotArea>
    </format>
    <format dxfId="224">
      <pivotArea dataOnly="0" labelOnly="1" outline="0" axis="axisValues" fieldPosition="0"/>
    </format>
    <format dxfId="225">
      <pivotArea type="all" dataOnly="0" outline="0" fieldPosition="0"/>
    </format>
    <format dxfId="226">
      <pivotArea outline="0" collapsedLevelsAreSubtotals="1" fieldPosition="0"/>
    </format>
    <format dxfId="227">
      <pivotArea field="16" type="button" dataOnly="0" labelOnly="1" outline="0" axis="axisRow" fieldPosition="0"/>
    </format>
    <format dxfId="228">
      <pivotArea dataOnly="0" labelOnly="1" outline="0" fieldPosition="0">
        <references count="1">
          <reference field="16" count="0"/>
        </references>
      </pivotArea>
    </format>
    <format dxfId="229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65724C-41F0-4B64-8EDB-6B65DAEBBD93}" name="TablaDinámica1" cacheId="4998" applyNumberFormats="0" applyBorderFormats="0" applyFontFormats="0" applyPatternFormats="0" applyAlignmentFormats="0" applyWidthHeightFormats="1" dataCaption="Valores" updatedVersion="8" minRefreshableVersion="3" useAutoFormatting="1" rowGrandTotals="0" itemPrintTitles="1" createdVersion="8" indent="0" compact="0" compactData="0" multipleFieldFilters="0" chartFormat="11">
  <location ref="A4:B14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1">
        <item x="9"/>
        <item x="8"/>
        <item x="7"/>
        <item x="6"/>
        <item x="5"/>
        <item x="2"/>
        <item x="0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name="%" fld="21" subtotal="count" showDataAs="percentOfTotal" baseField="0" baseItem="0" numFmtId="10"/>
  </dataFields>
  <formats count="15">
    <format dxfId="204">
      <pivotArea type="all" dataOnly="0" outline="0" fieldPosition="0"/>
    </format>
    <format dxfId="205">
      <pivotArea outline="0" collapsedLevelsAreSubtotals="1" fieldPosition="0"/>
    </format>
    <format dxfId="206">
      <pivotArea field="21" type="button" dataOnly="0" labelOnly="1" outline="0" axis="axisRow" fieldPosition="0"/>
    </format>
    <format dxfId="207">
      <pivotArea dataOnly="0" labelOnly="1" outline="0" fieldPosition="0">
        <references count="1">
          <reference field="21" count="0"/>
        </references>
      </pivotArea>
    </format>
    <format dxfId="208">
      <pivotArea dataOnly="0" labelOnly="1" grandRow="1" outline="0" fieldPosition="0"/>
    </format>
    <format dxfId="209">
      <pivotArea type="all" dataOnly="0" outline="0" fieldPosition="0"/>
    </format>
    <format dxfId="210">
      <pivotArea outline="0" collapsedLevelsAreSubtotals="1" fieldPosition="0"/>
    </format>
    <format dxfId="211">
      <pivotArea field="21" type="button" dataOnly="0" labelOnly="1" outline="0" axis="axisRow" fieldPosition="0"/>
    </format>
    <format dxfId="212">
      <pivotArea dataOnly="0" labelOnly="1" outline="0" fieldPosition="0">
        <references count="1">
          <reference field="21" count="0"/>
        </references>
      </pivotArea>
    </format>
    <format dxfId="213">
      <pivotArea dataOnly="0" labelOnly="1" outline="0" axis="axisValues" fieldPosition="0"/>
    </format>
    <format dxfId="214">
      <pivotArea type="all" dataOnly="0" outline="0" fieldPosition="0"/>
    </format>
    <format dxfId="215">
      <pivotArea outline="0" collapsedLevelsAreSubtotals="1" fieldPosition="0"/>
    </format>
    <format dxfId="216">
      <pivotArea field="21" type="button" dataOnly="0" labelOnly="1" outline="0" axis="axisRow" fieldPosition="0"/>
    </format>
    <format dxfId="217">
      <pivotArea dataOnly="0" labelOnly="1" outline="0" fieldPosition="0">
        <references count="1">
          <reference field="21" count="0"/>
        </references>
      </pivotArea>
    </format>
    <format dxfId="218">
      <pivotArea dataOnly="0" labelOnly="1" outline="0" axis="axisValues" fieldPosition="0"/>
    </format>
  </formats>
  <chartFormats count="1"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AE1088-0638-4BB3-AF0A-94EA86CB05B0}" name="TablaDinámica6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3">
  <location ref="A4:B10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uenta de Accesibilidad" fld="22" subtotal="count" baseField="0" baseItem="0"/>
  </dataFields>
  <formats count="6">
    <format dxfId="198">
      <pivotArea type="all" dataOnly="0" outline="0" fieldPosition="0"/>
    </format>
    <format dxfId="199">
      <pivotArea outline="0" collapsedLevelsAreSubtotals="1" fieldPosition="0"/>
    </format>
    <format dxfId="200">
      <pivotArea field="22" type="button" dataOnly="0" labelOnly="1" outline="0" axis="axisRow" fieldPosition="0"/>
    </format>
    <format dxfId="201">
      <pivotArea dataOnly="0" labelOnly="1" outline="0" fieldPosition="0">
        <references count="1">
          <reference field="22" count="0"/>
        </references>
      </pivotArea>
    </format>
    <format dxfId="202">
      <pivotArea dataOnly="0" labelOnly="1" grandRow="1" outline="0" fieldPosition="0"/>
    </format>
    <format dxfId="203">
      <pivotArea dataOnly="0" labelOnly="1" outline="0" axis="axisValues" fieldPosition="0"/>
    </format>
  </format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02E80-2CFD-4810-9498-5EF801B96048}" name="TablaDinámica3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46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3">
        <item x="18"/>
        <item x="24"/>
        <item x="0"/>
        <item x="31"/>
        <item x="14"/>
        <item x="32"/>
        <item x="23"/>
        <item x="7"/>
        <item x="5"/>
        <item x="4"/>
        <item x="3"/>
        <item x="9"/>
        <item x="21"/>
        <item x="29"/>
        <item x="30"/>
        <item x="27"/>
        <item x="22"/>
        <item x="35"/>
        <item x="34"/>
        <item x="41"/>
        <item x="17"/>
        <item x="20"/>
        <item x="36"/>
        <item x="33"/>
        <item x="28"/>
        <item x="38"/>
        <item x="1"/>
        <item x="15"/>
        <item x="13"/>
        <item x="6"/>
        <item x="11"/>
        <item x="16"/>
        <item x="12"/>
        <item x="2"/>
        <item x="25"/>
        <item x="39"/>
        <item x="40"/>
        <item x="10"/>
        <item x="8"/>
        <item x="26"/>
        <item x="19"/>
        <item x="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8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18" subtotal="count" baseField="0" baseItem="0"/>
    <dataField name="Porcentaje (%)" fld="18" subtotal="count" showDataAs="percentOfTotal" baseField="0" baseItem="0" numFmtId="10"/>
  </dataFields>
  <formats count="9">
    <format dxfId="189">
      <pivotArea type="all" dataOnly="0" outline="0" fieldPosition="0"/>
    </format>
    <format dxfId="190">
      <pivotArea outline="0" collapsedLevelsAreSubtotals="1" fieldPosition="0"/>
    </format>
    <format dxfId="191">
      <pivotArea field="18" type="button" dataOnly="0" labelOnly="1" outline="0" axis="axisRow" fieldPosition="0"/>
    </format>
    <format dxfId="192">
      <pivotArea dataOnly="0" labelOnly="1" outline="0" fieldPosition="0">
        <references count="1">
          <reference field="18" count="0"/>
        </references>
      </pivotArea>
    </format>
    <format dxfId="193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5">
      <pivotArea outline="0" collapsedLevelsAreSubtotals="1" fieldPosition="0"/>
    </format>
    <format dxfId="196">
      <pivotArea field="18" type="button" dataOnly="0" labelOnly="1" outline="0" axis="axisRow" fieldPosition="0"/>
    </format>
    <format dxfId="1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1D623F-EB02-4983-A78C-51D20D60C69B}" name="TablaDinámica2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9:C90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41">
        <item x="38"/>
        <item x="19"/>
        <item x="4"/>
        <item x="30"/>
        <item x="29"/>
        <item x="5"/>
        <item x="20"/>
        <item x="18"/>
        <item x="6"/>
        <item x="25"/>
        <item x="23"/>
        <item x="14"/>
        <item x="26"/>
        <item x="3"/>
        <item x="12"/>
        <item x="13"/>
        <item x="10"/>
        <item x="22"/>
        <item x="16"/>
        <item x="7"/>
        <item x="9"/>
        <item x="36"/>
        <item x="31"/>
        <item x="28"/>
        <item x="2"/>
        <item x="11"/>
        <item x="24"/>
        <item x="0"/>
        <item x="8"/>
        <item x="32"/>
        <item x="33"/>
        <item x="34"/>
        <item x="1"/>
        <item x="35"/>
        <item x="21"/>
        <item x="27"/>
        <item x="39"/>
        <item x="17"/>
        <item x="15"/>
        <item x="37"/>
        <item t="default"/>
      </items>
    </pivotField>
    <pivotField compact="0" numFmtId="165" outline="0" showAll="0"/>
    <pivotField compact="0" outline="0" showAll="0"/>
    <pivotField compact="0" numFmtId="14" outline="0" showAll="0"/>
  </pivotFields>
  <rowFields count="1">
    <field x="24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Fields count="1">
    <field x="-2"/>
  </colFields>
  <colItems count="2">
    <i>
      <x/>
    </i>
    <i i="1">
      <x v="1"/>
    </i>
  </colItems>
  <dataFields count="2">
    <dataField name="Cuenta de Beneficios" fld="24" subtotal="count" baseField="0" baseItem="0"/>
    <dataField name="Porcentaje (%)" fld="24" subtotal="count" showDataAs="percentOfTotal" baseField="0" baseItem="0" numFmtId="10"/>
  </dataFields>
  <formats count="16">
    <format dxfId="173">
      <pivotArea type="all" dataOnly="0" outline="0" fieldPosition="0"/>
    </format>
    <format dxfId="174">
      <pivotArea outline="0" collapsedLevelsAreSubtotals="1" fieldPosition="0"/>
    </format>
    <format dxfId="175">
      <pivotArea field="24" type="button" dataOnly="0" labelOnly="1" outline="0" axis="axisRow" fieldPosition="0"/>
    </format>
    <format dxfId="176">
      <pivotArea dataOnly="0" labelOnly="1" outline="0" fieldPosition="0">
        <references count="1">
          <reference field="24" count="0"/>
        </references>
      </pivotArea>
    </format>
    <format dxfId="177">
      <pivotArea dataOnly="0" labelOnly="1" grandRow="1" outline="0" fieldPosition="0"/>
    </format>
    <format dxfId="17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type="all" dataOnly="0" outline="0" fieldPosition="0"/>
    </format>
    <format dxfId="180">
      <pivotArea outline="0" collapsedLevelsAreSubtotals="1" fieldPosition="0"/>
    </format>
    <format dxfId="181">
      <pivotArea field="24" type="button" dataOnly="0" labelOnly="1" outline="0" axis="axisRow" fieldPosition="0"/>
    </format>
    <format dxfId="182">
      <pivotArea dataOnly="0" labelOnly="1" outline="0" fieldPosition="0">
        <references count="1">
          <reference field="24" count="0"/>
        </references>
      </pivotArea>
    </format>
    <format dxfId="183">
      <pivotArea dataOnly="0" labelOnly="1" grandRow="1" outline="0" fieldPosition="0"/>
    </format>
    <format dxfId="1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5">
      <pivotArea outline="0" collapsedLevelsAreSubtotals="1" fieldPosition="0"/>
    </format>
    <format dxfId="186">
      <pivotArea field="24" type="button" dataOnly="0" labelOnly="1" outline="0" axis="axisRow" fieldPosition="0"/>
    </format>
    <format dxfId="18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8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E03276-3CF3-4E6F-BDFB-9BDA70A2B7A0}" name="TablaDinámica9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:I106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>
      <items count="65">
        <item x="1"/>
        <item x="30"/>
        <item x="16"/>
        <item x="3"/>
        <item x="33"/>
        <item x="5"/>
        <item x="24"/>
        <item x="0"/>
        <item x="12"/>
        <item x="6"/>
        <item x="19"/>
        <item x="2"/>
        <item x="23"/>
        <item x="8"/>
        <item x="22"/>
        <item x="4"/>
        <item x="36"/>
        <item x="28"/>
        <item x="17"/>
        <item x="44"/>
        <item x="47"/>
        <item x="45"/>
        <item x="9"/>
        <item x="50"/>
        <item x="37"/>
        <item x="42"/>
        <item x="29"/>
        <item x="13"/>
        <item x="43"/>
        <item x="32"/>
        <item x="10"/>
        <item x="48"/>
        <item x="51"/>
        <item x="61"/>
        <item x="27"/>
        <item x="21"/>
        <item x="46"/>
        <item x="53"/>
        <item x="20"/>
        <item x="11"/>
        <item x="39"/>
        <item x="35"/>
        <item x="7"/>
        <item x="31"/>
        <item x="60"/>
        <item x="38"/>
        <item x="41"/>
        <item x="14"/>
        <item x="63"/>
        <item x="59"/>
        <item x="26"/>
        <item x="15"/>
        <item x="25"/>
        <item x="57"/>
        <item x="55"/>
        <item x="56"/>
        <item x="18"/>
        <item x="34"/>
        <item x="40"/>
        <item x="62"/>
        <item x="49"/>
        <item x="58"/>
        <item x="54"/>
        <item x="5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numFmtId="165" outline="0" showAll="0">
      <items count="103">
        <item x="7"/>
        <item x="29"/>
        <item x="43"/>
        <item x="27"/>
        <item x="56"/>
        <item x="6"/>
        <item x="2"/>
        <item x="70"/>
        <item x="42"/>
        <item x="16"/>
        <item x="51"/>
        <item x="21"/>
        <item x="3"/>
        <item x="1"/>
        <item x="71"/>
        <item x="5"/>
        <item x="54"/>
        <item x="37"/>
        <item x="93"/>
        <item x="90"/>
        <item x="83"/>
        <item x="81"/>
        <item x="73"/>
        <item x="62"/>
        <item x="22"/>
        <item x="49"/>
        <item x="58"/>
        <item x="57"/>
        <item x="44"/>
        <item x="8"/>
        <item x="25"/>
        <item x="17"/>
        <item x="63"/>
        <item x="12"/>
        <item x="20"/>
        <item x="32"/>
        <item x="72"/>
        <item x="61"/>
        <item x="24"/>
        <item x="10"/>
        <item x="4"/>
        <item x="98"/>
        <item x="36"/>
        <item x="15"/>
        <item x="59"/>
        <item x="60"/>
        <item x="33"/>
        <item x="85"/>
        <item x="46"/>
        <item x="13"/>
        <item x="40"/>
        <item x="45"/>
        <item x="64"/>
        <item x="48"/>
        <item x="9"/>
        <item x="91"/>
        <item x="23"/>
        <item x="75"/>
        <item x="88"/>
        <item x="0"/>
        <item x="14"/>
        <item x="55"/>
        <item x="52"/>
        <item x="38"/>
        <item x="30"/>
        <item x="35"/>
        <item x="19"/>
        <item x="47"/>
        <item x="26"/>
        <item x="41"/>
        <item x="95"/>
        <item x="69"/>
        <item x="78"/>
        <item x="79"/>
        <item x="80"/>
        <item x="76"/>
        <item x="82"/>
        <item x="74"/>
        <item x="18"/>
        <item x="34"/>
        <item x="28"/>
        <item x="65"/>
        <item x="50"/>
        <item x="94"/>
        <item x="99"/>
        <item x="77"/>
        <item x="84"/>
        <item x="39"/>
        <item x="92"/>
        <item x="97"/>
        <item x="11"/>
        <item x="89"/>
        <item x="86"/>
        <item x="31"/>
        <item x="68"/>
        <item x="66"/>
        <item x="53"/>
        <item x="87"/>
        <item x="100"/>
        <item x="67"/>
        <item x="96"/>
        <item x="101"/>
        <item t="default"/>
      </items>
    </pivotField>
    <pivotField compact="0" outline="0" showAll="0"/>
    <pivotField compact="0" numFmtId="14" outline="0" showAll="0"/>
  </pivotFields>
  <rowFields count="1">
    <field x="25"/>
  </rowFields>
  <rowItems count="10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cuencia (n)" fld="25" baseField="0" baseItem="0" numFmtId="165"/>
    <dataField name="Promedio" fld="25" subtotal="average" baseField="0" baseItem="0" numFmtId="165"/>
    <dataField name="Desvestp de Disposición a Invertir" fld="25" subtotal="stdDevp" baseField="0" baseItem="0" numFmtId="2"/>
  </dataFields>
  <formats count="26">
    <format dxfId="147">
      <pivotArea type="all" dataOnly="0" outline="0" fieldPosition="0"/>
    </format>
    <format dxfId="148">
      <pivotArea outline="0" collapsedLevelsAreSubtotals="1" fieldPosition="0"/>
    </format>
    <format dxfId="149">
      <pivotArea field="25" type="button" dataOnly="0" labelOnly="1" outline="0" axis="axisRow" fieldPosition="0"/>
    </format>
    <format dxfId="150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1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52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  <format dxfId="153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5">
      <pivotArea type="all" dataOnly="0" outline="0" fieldPosition="0"/>
    </format>
    <format dxfId="156">
      <pivotArea outline="0" collapsedLevelsAreSubtotals="1" fieldPosition="0"/>
    </format>
    <format dxfId="157">
      <pivotArea field="25" type="button" dataOnly="0" labelOnly="1" outline="0" axis="axisRow" fieldPosition="0"/>
    </format>
    <format dxfId="158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59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0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  <format dxfId="161">
      <pivotArea dataOnly="0" labelOnly="1" grandRow="1" outline="0" fieldPosition="0"/>
    </format>
    <format dxfId="16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63">
      <pivotArea type="all" dataOnly="0" outline="0" fieldPosition="0"/>
    </format>
    <format dxfId="164">
      <pivotArea outline="0" collapsedLevelsAreSubtotals="1" fieldPosition="0"/>
    </format>
    <format dxfId="165">
      <pivotArea field="25" type="button" dataOnly="0" labelOnly="1" outline="0" axis="axisRow" fieldPosition="0"/>
    </format>
    <format dxfId="166">
      <pivotArea dataOnly="0" labelOnly="1" outline="0" fieldPosition="0">
        <references count="1">
          <reference field="25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67">
      <pivotArea dataOnly="0" labelOnly="1" outline="0" fieldPosition="0">
        <references count="1">
          <reference field="25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68">
      <pivotArea dataOnly="0" labelOnly="1" outline="0" fieldPosition="0">
        <references count="1">
          <reference field="25" count="2">
            <x v="100"/>
            <x v="101"/>
          </reference>
        </references>
      </pivotArea>
    </format>
    <format dxfId="169">
      <pivotArea dataOnly="0" labelOnly="1" grandRow="1" outline="0" fieldPosition="0"/>
    </format>
    <format dxfId="17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1">
      <pivotArea outline="0" fieldPosition="0">
        <references count="1">
          <reference field="4294967294" count="1" selected="0">
            <x v="2"/>
          </reference>
        </references>
      </pivotArea>
    </format>
    <format dxfId="17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678A4-94A6-4EC1-B638-E0642051D16C}" name="TablaDinámica8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68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numFmtId="2" outline="0" showAll="0">
      <items count="65">
        <item x="1"/>
        <item x="30"/>
        <item x="16"/>
        <item x="3"/>
        <item x="33"/>
        <item x="5"/>
        <item x="24"/>
        <item x="0"/>
        <item x="12"/>
        <item x="6"/>
        <item x="19"/>
        <item x="2"/>
        <item x="23"/>
        <item x="8"/>
        <item x="22"/>
        <item x="4"/>
        <item x="36"/>
        <item x="28"/>
        <item x="17"/>
        <item x="44"/>
        <item x="47"/>
        <item x="45"/>
        <item x="9"/>
        <item x="50"/>
        <item x="37"/>
        <item x="42"/>
        <item x="29"/>
        <item x="13"/>
        <item x="43"/>
        <item x="32"/>
        <item x="10"/>
        <item x="48"/>
        <item x="51"/>
        <item x="61"/>
        <item x="27"/>
        <item x="21"/>
        <item x="46"/>
        <item x="53"/>
        <item x="20"/>
        <item x="11"/>
        <item x="39"/>
        <item x="35"/>
        <item x="7"/>
        <item x="31"/>
        <item x="60"/>
        <item x="38"/>
        <item x="41"/>
        <item x="14"/>
        <item x="63"/>
        <item x="59"/>
        <item x="26"/>
        <item x="15"/>
        <item x="25"/>
        <item x="57"/>
        <item x="55"/>
        <item x="56"/>
        <item x="18"/>
        <item x="34"/>
        <item x="40"/>
        <item x="62"/>
        <item x="49"/>
        <item x="58"/>
        <item x="54"/>
        <item x="5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4"/>
  </rowFields>
  <rowItems count="6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recuencia (n)" fld="14" subtotal="count" baseField="0" baseItem="0"/>
    <dataField name="Promedio " fld="14" subtotal="average" baseField="0" baseItem="0" numFmtId="2"/>
    <dataField name="Desviación estándar" fld="14" subtotal="stdDevp" baseField="0" baseItem="0" numFmtId="2"/>
  </dataFields>
  <formats count="21">
    <format dxfId="126">
      <pivotArea type="all" dataOnly="0" outline="0" fieldPosition="0"/>
    </format>
    <format dxfId="127">
      <pivotArea outline="0" collapsedLevelsAreSubtotals="1" fieldPosition="0"/>
    </format>
    <format dxfId="128">
      <pivotArea field="14" type="button" dataOnly="0" labelOnly="1" outline="0" axis="axisRow" fieldPosition="0"/>
    </format>
    <format dxfId="129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0">
      <pivotArea dataOnly="0" labelOnly="1" outline="0" fieldPosition="0">
        <references count="1">
          <reference field="14" count="1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131">
      <pivotArea dataOnly="0" labelOnly="1" grandRow="1" outline="0" fieldPosition="0"/>
    </format>
    <format dxfId="13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3">
      <pivotArea type="all" dataOnly="0" outline="0" fieldPosition="0"/>
    </format>
    <format dxfId="134">
      <pivotArea outline="0" collapsedLevelsAreSubtotals="1" fieldPosition="0"/>
    </format>
    <format dxfId="135">
      <pivotArea field="14" type="button" dataOnly="0" labelOnly="1" outline="0" axis="axisRow" fieldPosition="0"/>
    </format>
    <format dxfId="136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37">
      <pivotArea dataOnly="0" labelOnly="1" outline="0" fieldPosition="0">
        <references count="1">
          <reference field="14" count="1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138">
      <pivotArea dataOnly="0" labelOnly="1" grandRow="1" outline="0" fieldPosition="0"/>
    </format>
    <format dxfId="1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0">
      <pivotArea type="all" dataOnly="0" outline="0" fieldPosition="0"/>
    </format>
    <format dxfId="141">
      <pivotArea outline="0" collapsedLevelsAreSubtotals="1" fieldPosition="0"/>
    </format>
    <format dxfId="142">
      <pivotArea field="14" type="button" dataOnly="0" labelOnly="1" outline="0" axis="axisRow" fieldPosition="0"/>
    </format>
    <format dxfId="143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4">
      <pivotArea dataOnly="0" labelOnly="1" outline="0" fieldPosition="0">
        <references count="1">
          <reference field="14" count="14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</reference>
        </references>
      </pivotArea>
    </format>
    <format dxfId="145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9138D-CF16-4D58-ABD8-D20EC23CCFB8}" name="TablaDinámica13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8:C24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axis="axisRow" dataField="1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16" subtotal="count" baseField="0" baseItem="0"/>
    <dataField name="Promedio Ponderado" fld="16" subtotal="average" baseField="0" baseItem="0"/>
  </dataFields>
  <formats count="11">
    <format dxfId="115">
      <pivotArea type="all" dataOnly="0" outline="0" fieldPosition="0"/>
    </format>
    <format dxfId="116">
      <pivotArea outline="0" collapsedLevelsAreSubtotals="1" fieldPosition="0"/>
    </format>
    <format dxfId="117">
      <pivotArea field="12" type="button" dataOnly="0" labelOnly="1" outline="0"/>
    </format>
    <format dxfId="118">
      <pivotArea dataOnly="0" labelOnly="1" grandRow="1" outline="0" fieldPosition="0"/>
    </format>
    <format dxfId="119">
      <pivotArea field="16" grandRow="1" outline="0" axis="axisRow" fieldPosition="0">
        <references count="1">
          <reference field="4294967294" count="1" selected="0">
            <x v="1"/>
          </reference>
        </references>
      </pivotArea>
    </format>
    <format dxfId="120">
      <pivotArea type="all" dataOnly="0" outline="0" fieldPosition="0"/>
    </format>
    <format dxfId="121">
      <pivotArea outline="0" collapsedLevelsAreSubtotals="1" fieldPosition="0"/>
    </format>
    <format dxfId="122">
      <pivotArea field="16" type="button" dataOnly="0" labelOnly="1" outline="0" axis="axisRow" fieldPosition="0"/>
    </format>
    <format dxfId="123">
      <pivotArea dataOnly="0" labelOnly="1" outline="0" fieldPosition="0">
        <references count="1">
          <reference field="16" count="0"/>
        </references>
      </pivotArea>
    </format>
    <format dxfId="124">
      <pivotArea dataOnly="0" labelOnly="1" grandRow="1" outline="0" fieldPosition="0"/>
    </format>
    <format dxfId="12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A02DB-EA55-442A-A80C-2534C75C58BD}" name="TablaDinámica12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3:G9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2"/>
        <item x="0"/>
        <item x="4"/>
        <item x="3"/>
        <item t="default"/>
      </items>
    </pivotField>
    <pivotField axis="axisRow" dataField="1" compact="0" outline="0" showAll="0">
      <items count="6">
        <item x="1"/>
        <item x="0"/>
        <item x="3"/>
        <item x="4"/>
        <item x="2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13" subtotal="count" baseField="0" baseItem="0"/>
    <dataField name="Promedio Ponderado" fld="13" subtotal="average" baseField="0" baseItem="0"/>
  </dataFields>
  <formats count="11">
    <format dxfId="104">
      <pivotArea type="all" dataOnly="0" outline="0" fieldPosition="0"/>
    </format>
    <format dxfId="105">
      <pivotArea outline="0" collapsedLevelsAreSubtotals="1" fieldPosition="0"/>
    </format>
    <format dxfId="106">
      <pivotArea field="12" type="button" dataOnly="0" labelOnly="1" outline="0"/>
    </format>
    <format dxfId="107">
      <pivotArea dataOnly="0" labelOnly="1" grandRow="1" outline="0" fieldPosition="0"/>
    </format>
    <format dxfId="108">
      <pivotArea field="13" grandRow="1" outline="0" axis="axisRow" fieldPosition="0">
        <references count="1">
          <reference field="4294967294" count="1" selected="0">
            <x v="1"/>
          </reference>
        </references>
      </pivotArea>
    </format>
    <format dxfId="109">
      <pivotArea type="all" dataOnly="0" outline="0" fieldPosition="0"/>
    </format>
    <format dxfId="110">
      <pivotArea outline="0" collapsedLevelsAreSubtotals="1" fieldPosition="0"/>
    </format>
    <format dxfId="111">
      <pivotArea field="13" type="button" dataOnly="0" labelOnly="1" outline="0" axis="axisRow" fieldPosition="0"/>
    </format>
    <format dxfId="112">
      <pivotArea dataOnly="0" labelOnly="1" outline="0" fieldPosition="0">
        <references count="1">
          <reference field="13" count="0"/>
        </references>
      </pivotArea>
    </format>
    <format dxfId="113">
      <pivotArea dataOnly="0" labelOnly="1" grandRow="1" outline="0" fieldPosition="0"/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12146-017C-4C54-AD84-E4440FB3BDA0}" name="TablaDinámica1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C9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12" subtotal="count" baseField="0" baseItem="0"/>
    <dataField name="Promedio Ponderado" fld="12" subtotal="average" baseField="0" baseItem="0"/>
  </dataFields>
  <formats count="13">
    <format dxfId="91">
      <pivotArea field="12" grandRow="1" outline="0" axis="axisRow" fieldPosition="0">
        <references count="1">
          <reference field="4294967294" count="1" selected="0">
            <x v="1"/>
          </reference>
        </references>
      </pivotArea>
    </format>
    <format dxfId="92">
      <pivotArea type="all" dataOnly="0" outline="0" fieldPosition="0"/>
    </format>
    <format dxfId="93">
      <pivotArea outline="0" collapsedLevelsAreSubtotals="1" fieldPosition="0"/>
    </format>
    <format dxfId="94">
      <pivotArea field="12" type="button" dataOnly="0" labelOnly="1" outline="0" axis="axisRow" fieldPosition="0"/>
    </format>
    <format dxfId="95">
      <pivotArea dataOnly="0" labelOnly="1" outline="0" fieldPosition="0">
        <references count="1">
          <reference field="12" count="0"/>
        </references>
      </pivotArea>
    </format>
    <format dxfId="96">
      <pivotArea dataOnly="0" labelOnly="1" grandRow="1" outline="0" fieldPosition="0"/>
    </format>
    <format dxfId="9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8">
      <pivotArea type="all" dataOnly="0" outline="0" fieldPosition="0"/>
    </format>
    <format dxfId="99">
      <pivotArea outline="0" collapsedLevelsAreSubtotals="1" fieldPosition="0"/>
    </format>
    <format dxfId="100">
      <pivotArea field="12" type="button" dataOnly="0" labelOnly="1" outline="0" axis="axisRow" fieldPosition="0"/>
    </format>
    <format dxfId="101">
      <pivotArea dataOnly="0" labelOnly="1" outline="0" fieldPosition="0">
        <references count="1">
          <reference field="12" count="0"/>
        </references>
      </pivotArea>
    </format>
    <format dxfId="102">
      <pivotArea dataOnly="0" labelOnly="1" grandRow="1" outline="0" fieldPosition="0"/>
    </format>
    <format dxfId="10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5DC704-12A6-4A73-A0F0-F15F9EF0F108}" name="TablaDinámica16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33:G39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22" subtotal="count" baseField="0" baseItem="0"/>
    <dataField name="Promedio Ponderado" fld="22" subtotal="average" baseField="0" baseItem="0"/>
  </dataFields>
  <formats count="11">
    <format dxfId="80">
      <pivotArea type="all" dataOnly="0" outline="0" fieldPosition="0"/>
    </format>
    <format dxfId="81">
      <pivotArea outline="0" collapsedLevelsAreSubtotals="1" fieldPosition="0"/>
    </format>
    <format dxfId="82">
      <pivotArea field="12" type="button" dataOnly="0" labelOnly="1" outline="0"/>
    </format>
    <format dxfId="83">
      <pivotArea dataOnly="0" labelOnly="1" grandRow="1" outline="0" fieldPosition="0"/>
    </format>
    <format dxfId="84">
      <pivotArea field="22" grandRow="1" outline="0" axis="axisRow" fieldPosition="0">
        <references count="1">
          <reference field="4294967294" count="1" selected="0">
            <x v="1"/>
          </reference>
        </references>
      </pivotArea>
    </format>
    <format dxfId="85">
      <pivotArea type="all" dataOnly="0" outline="0" fieldPosition="0"/>
    </format>
    <format dxfId="86">
      <pivotArea outline="0" collapsedLevelsAreSubtotals="1" fieldPosition="0"/>
    </format>
    <format dxfId="87">
      <pivotArea field="22" type="button" dataOnly="0" labelOnly="1" outline="0" axis="axisRow" fieldPosition="0"/>
    </format>
    <format dxfId="88">
      <pivotArea dataOnly="0" labelOnly="1" outline="0" fieldPosition="0">
        <references count="1">
          <reference field="22" count="0"/>
        </references>
      </pivotArea>
    </format>
    <format dxfId="89">
      <pivotArea dataOnly="0" labelOnly="1" grandRow="1" outline="0" fieldPosition="0"/>
    </format>
    <format dxfId="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30F89-1B2C-4E55-846E-377045093DF1}" name="TablaDinámica15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3:C44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dataField="1" compact="0" outline="0" showAll="0">
      <items count="11">
        <item x="9"/>
        <item x="8"/>
        <item x="7"/>
        <item x="6"/>
        <item x="5"/>
        <item x="2"/>
        <item x="0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21" subtotal="count" baseField="0" baseItem="0"/>
    <dataField name="Promedio Ponderado" fld="21" subtotal="average" baseField="0" baseItem="0"/>
  </dataFields>
  <formats count="11">
    <format dxfId="69">
      <pivotArea type="all" dataOnly="0" outline="0" fieldPosition="0"/>
    </format>
    <format dxfId="70">
      <pivotArea outline="0" collapsedLevelsAreSubtotals="1" fieldPosition="0"/>
    </format>
    <format dxfId="71">
      <pivotArea field="12" type="button" dataOnly="0" labelOnly="1" outline="0"/>
    </format>
    <format dxfId="72">
      <pivotArea dataOnly="0" labelOnly="1" grandRow="1" outline="0" fieldPosition="0"/>
    </format>
    <format dxfId="73">
      <pivotArea field="21" grandRow="1" outline="0" axis="axisRow" fieldPosition="0">
        <references count="1">
          <reference field="4294967294" count="1" selected="0">
            <x v="1"/>
          </reference>
        </references>
      </pivotArea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field="21" type="button" dataOnly="0" labelOnly="1" outline="0" axis="axisRow" fieldPosition="0"/>
    </format>
    <format dxfId="77">
      <pivotArea dataOnly="0" labelOnly="1" outline="0" fieldPosition="0">
        <references count="1">
          <reference field="21" count="0"/>
        </references>
      </pivotArea>
    </format>
    <format dxfId="78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3B8E68-73A7-428D-A409-C73830F462C2}" name="TablaDinámica14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18:G24" firstHeaderRow="0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axis="axisRow" dataField="1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Frecuencia (n)" fld="17" subtotal="count" baseField="0" baseItem="0"/>
    <dataField name="Promedio Ponderado" fld="17" subtotal="average" baseField="0" baseItem="0"/>
  </dataFields>
  <formats count="11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12" type="button" dataOnly="0" labelOnly="1" outline="0"/>
    </format>
    <format dxfId="61">
      <pivotArea dataOnly="0" labelOnly="1" grandRow="1" outline="0" fieldPosition="0"/>
    </format>
    <format dxfId="62">
      <pivotArea field="17" grandRow="1" outline="0" axis="axisRow" fieldPosition="0">
        <references count="1">
          <reference field="4294967294" count="1" selected="0">
            <x v="1"/>
          </reference>
        </references>
      </pivotArea>
    </format>
    <format dxfId="63">
      <pivotArea type="all" dataOnly="0" outline="0" fieldPosition="0"/>
    </format>
    <format dxfId="64">
      <pivotArea outline="0" collapsedLevelsAreSubtotals="1" fieldPosition="0"/>
    </format>
    <format dxfId="65">
      <pivotArea field="17" type="button" dataOnly="0" labelOnly="1" outline="0" axis="axisRow" fieldPosition="0"/>
    </format>
    <format dxfId="66">
      <pivotArea dataOnly="0" labelOnly="1" outline="0" fieldPosition="0">
        <references count="1">
          <reference field="17" count="0"/>
        </references>
      </pivotArea>
    </format>
    <format dxfId="67">
      <pivotArea dataOnly="0" labelOnly="1" grandRow="1" outline="0" fieldPosition="0"/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5643C-3CDF-4303-A672-9B721CB4F08E}" name="TablaDinámica15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W3:AW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axis="axisRow" compact="0" outline="0" showAll="0">
      <items count="6">
        <item x="4"/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1D0775-2FDA-4701-838C-286A4A472D94}" name="TablaDinámica20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U3:BU8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0"/>
        <item x="3"/>
        <item x="2"/>
        <item t="default"/>
      </items>
    </pivotField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59002-2CB8-404C-8CB4-86587FA60390}" name="TablaDinámica8" cacheId="500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K3:AK14" firstHeaderRow="1" firstDataRow="1" firstDataCol="1"/>
  <pivotFields count="1">
    <pivotField axis="axisRow" compact="0" outline="0" showAll="0">
      <items count="11">
        <item x="7"/>
        <item x="5"/>
        <item x="1"/>
        <item x="2"/>
        <item x="4"/>
        <item x="3"/>
        <item x="9"/>
        <item x="0"/>
        <item x="6"/>
        <item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formats count="6"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0" type="button" dataOnly="0" labelOnly="1" outline="0" axis="axisRow" fieldPosition="0"/>
    </format>
    <format dxfId="55">
      <pivotArea dataOnly="0" labelOnly="1" outline="0" fieldPosition="0">
        <references count="1">
          <reference field="0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1A152D-0472-42BF-90F3-F4D82E4FF24B}" name="TablaDinámica7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J3:J5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4"/>
  </rowFields>
  <rowItems count="2">
    <i>
      <x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B8F66-420F-41E4-A1AA-2BD5D40B91BA}" name="TablaDinámica1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A5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"/>
  </rowFields>
  <rowItems count="2">
    <i>
      <x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7FE26B-BEA7-4D27-B302-AF81012C59EA}" name="TablaDinámica12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A3:AA10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axis="axisRow"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269037-D781-4B0B-9015-11ED17A585A2}" name="TablaDinámica18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M3:BM14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name="Impacto Futuro" axis="axisRow" compact="0" outline="0" showAll="0">
      <items count="11">
        <item x="9"/>
        <item x="8"/>
        <item x="7"/>
        <item x="6"/>
        <item x="5"/>
        <item x="2"/>
        <item x="0"/>
        <item x="3"/>
        <item x="4"/>
        <item x="1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0B8DF-7D7E-4A23-B218-14CBE037E971}" name="TablaDinámica6" cacheId="50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F3:AF6" firstHeaderRow="1" firstDataRow="1" firstDataCol="1"/>
  <pivotFields count="1">
    <pivotField axis="axisRow" compact="0" outline="0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formats count="6">
    <format dxfId="46">
      <pivotArea type="all" dataOnly="0" outline="0" fieldPosition="0"/>
    </format>
    <format dxfId="47">
      <pivotArea outline="0" collapsedLevelsAreSubtotals="1" fieldPosition="0"/>
    </format>
    <format dxfId="48">
      <pivotArea field="0" type="button" dataOnly="0" labelOnly="1" outline="0" axis="axisRow" fieldPosition="0"/>
    </format>
    <format dxfId="49">
      <pivotArea dataOnly="0" labelOnly="1" outline="0" fieldPosition="0">
        <references count="1">
          <reference field="0" count="0"/>
        </references>
      </pivotArea>
    </format>
    <format dxfId="50">
      <pivotArea dataOnly="0" labelOnly="1" grandRow="1" outline="0" fieldPosition="0"/>
    </format>
    <format dxfId="51">
      <pivotArea dataOnly="0" labelOnly="1" outline="0" axis="axisValues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5DF1C-549E-498C-8367-222472452363}" name="TablaDinámica13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O3:AO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axis="axisRow" compact="0" outline="0" showAll="0">
      <items count="6">
        <item x="1"/>
        <item x="2"/>
        <item x="0"/>
        <item x="4"/>
        <item x="3"/>
        <item t="default"/>
      </items>
    </pivotField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6D730B-0F2F-41AD-9948-21186DBB5E4C}" name="TablaDinámica4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3:F5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2"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3"/>
  </rowFields>
  <rowItems count="2">
    <i>
      <x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B23AA-B19C-4A2A-BFAA-4AA236D6E15F}" name="TablaDinámica9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N3:N8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15C68D-BDF6-4BAB-B2FC-F91CE97C753E}" name="TablaDinámica3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E3:BE46" firstHeaderRow="1" firstDataRow="1" firstDataCol="1"/>
  <pivotFields count="28"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43">
        <item x="18"/>
        <item x="24"/>
        <item x="0"/>
        <item x="31"/>
        <item x="14"/>
        <item x="32"/>
        <item x="23"/>
        <item x="7"/>
        <item x="5"/>
        <item x="4"/>
        <item x="3"/>
        <item x="9"/>
        <item x="21"/>
        <item x="29"/>
        <item x="30"/>
        <item x="27"/>
        <item x="22"/>
        <item x="35"/>
        <item x="34"/>
        <item x="41"/>
        <item x="17"/>
        <item x="20"/>
        <item x="36"/>
        <item x="33"/>
        <item x="28"/>
        <item x="38"/>
        <item x="1"/>
        <item x="15"/>
        <item x="13"/>
        <item x="6"/>
        <item x="11"/>
        <item x="16"/>
        <item x="12"/>
        <item x="2"/>
        <item x="25"/>
        <item x="39"/>
        <item x="40"/>
        <item x="10"/>
        <item x="8"/>
        <item x="26"/>
        <item x="19"/>
        <item x="3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8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D0FAA-142A-4A76-B159-1E8764825D2E}" name="TablaDinámica17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I3:BI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3"/>
        <item x="4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129E20-8B41-4B42-A1B1-AB52D8DB4B46}" name="TablaDinámica5" cacheId="499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S3:S8" firstHeaderRow="1" firstDataRow="1" firstDataCol="1"/>
  <pivotFields count="1">
    <pivotField axis="axisRow" compact="0" outline="0" showAll="0">
      <items count="5">
        <item x="0"/>
        <item x="1"/>
        <item x="2"/>
        <item x="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formats count="5">
    <format dxfId="41">
      <pivotArea dataOnly="0" labelOnly="1" outline="0" axis="axisValues" fieldPosition="0"/>
    </format>
    <format dxfId="42">
      <pivotArea field="0" type="button" dataOnly="0" labelOnly="1" outline="0" axis="axisRow" fieldPosition="0"/>
    </format>
    <format dxfId="43">
      <pivotArea outline="0" collapsedLevelsAreSubtotals="1" fieldPosition="0"/>
    </format>
    <format dxfId="44">
      <pivotArea dataOnly="0" labelOnly="1" outline="0" fieldPosition="0">
        <references count="1">
          <reference field="0" count="0"/>
        </references>
      </pivotArea>
    </format>
    <format dxfId="45">
      <pivotArea dataOnly="0" labelOnly="1" grandRow="1" outline="0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CA2FA-F0D9-4277-BFB5-ECCB666C9898}" name="TablaDinámica11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W3:W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axis="axisRow" compact="0" outline="0" showAll="0" sortType="ascending">
      <items count="6">
        <item x="3"/>
        <item x="2"/>
        <item x="0"/>
        <item x="1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E06087-7877-449B-8C83-E82E34FDC21E}" name="TablaDinámica14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S3:AS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3"/>
        <item x="4"/>
        <item x="2"/>
        <item t="default"/>
      </items>
    </pivotField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ED2B1-4BD0-4B63-B8BA-333F88A37C26}" name="TablaDinámica16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A3:BA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axis="axisRow" compact="0" outline="0" showAll="0">
      <items count="6">
        <item x="3"/>
        <item x="2"/>
        <item x="1"/>
        <item x="4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A5E6-751F-4EE1-9955-2BFED526F386}" name="TablaDinámica19" cacheId="49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Q3:BQ9" firstHeaderRow="1" firstDataRow="1" firstDataCol="1"/>
  <pivotFields count="28">
    <pivotField compact="0" numFmtId="164" outline="0" showAll="0"/>
    <pivotField compact="0" outline="0" showAll="0">
      <items count="350">
        <item x="219"/>
        <item x="309"/>
        <item x="110"/>
        <item x="314"/>
        <item x="80"/>
        <item x="238"/>
        <item x="304"/>
        <item x="142"/>
        <item x="170"/>
        <item x="143"/>
        <item x="157"/>
        <item x="189"/>
        <item x="336"/>
        <item x="89"/>
        <item x="160"/>
        <item x="322"/>
        <item x="165"/>
        <item x="337"/>
        <item x="347"/>
        <item x="99"/>
        <item x="10"/>
        <item x="54"/>
        <item x="220"/>
        <item x="296"/>
        <item x="138"/>
        <item x="312"/>
        <item x="26"/>
        <item x="117"/>
        <item x="269"/>
        <item x="57"/>
        <item x="20"/>
        <item x="261"/>
        <item x="171"/>
        <item x="228"/>
        <item x="249"/>
        <item x="107"/>
        <item x="342"/>
        <item x="0"/>
        <item x="11"/>
        <item x="112"/>
        <item x="266"/>
        <item x="257"/>
        <item x="317"/>
        <item x="273"/>
        <item x="297"/>
        <item x="12"/>
        <item x="253"/>
        <item x="325"/>
        <item x="212"/>
        <item x="92"/>
        <item x="27"/>
        <item x="301"/>
        <item x="247"/>
        <item x="240"/>
        <item x="62"/>
        <item x="131"/>
        <item x="127"/>
        <item x="134"/>
        <item x="183"/>
        <item x="120"/>
        <item x="66"/>
        <item x="7"/>
        <item x="196"/>
        <item x="109"/>
        <item x="18"/>
        <item x="126"/>
        <item x="223"/>
        <item x="311"/>
        <item x="39"/>
        <item x="115"/>
        <item x="9"/>
        <item x="328"/>
        <item x="53"/>
        <item x="262"/>
        <item x="214"/>
        <item x="34"/>
        <item x="21"/>
        <item x="122"/>
        <item x="234"/>
        <item x="176"/>
        <item x="333"/>
        <item x="156"/>
        <item x="186"/>
        <item x="31"/>
        <item x="16"/>
        <item x="59"/>
        <item x="8"/>
        <item x="129"/>
        <item x="5"/>
        <item x="2"/>
        <item x="155"/>
        <item x="346"/>
        <item x="169"/>
        <item x="326"/>
        <item x="164"/>
        <item x="280"/>
        <item x="133"/>
        <item x="250"/>
        <item x="177"/>
        <item x="276"/>
        <item x="103"/>
        <item x="216"/>
        <item x="50"/>
        <item x="67"/>
        <item x="52"/>
        <item x="173"/>
        <item x="4"/>
        <item x="63"/>
        <item x="37"/>
        <item x="323"/>
        <item x="315"/>
        <item x="151"/>
        <item x="211"/>
        <item x="45"/>
        <item x="94"/>
        <item x="254"/>
        <item x="235"/>
        <item x="208"/>
        <item x="348"/>
        <item x="38"/>
        <item x="285"/>
        <item x="200"/>
        <item x="298"/>
        <item x="74"/>
        <item x="237"/>
        <item x="339"/>
        <item x="245"/>
        <item x="195"/>
        <item x="281"/>
        <item x="174"/>
        <item x="239"/>
        <item x="78"/>
        <item x="46"/>
        <item x="72"/>
        <item x="148"/>
        <item x="88"/>
        <item x="77"/>
        <item x="248"/>
        <item x="241"/>
        <item x="290"/>
        <item x="210"/>
        <item x="267"/>
        <item x="213"/>
        <item x="93"/>
        <item x="118"/>
        <item x="264"/>
        <item x="47"/>
        <item x="161"/>
        <item x="343"/>
        <item x="277"/>
        <item x="278"/>
        <item x="35"/>
        <item x="338"/>
        <item x="102"/>
        <item x="91"/>
        <item x="68"/>
        <item x="321"/>
        <item x="98"/>
        <item x="64"/>
        <item x="100"/>
        <item x="135"/>
        <item x="69"/>
        <item x="188"/>
        <item x="187"/>
        <item x="44"/>
        <item x="108"/>
        <item x="324"/>
        <item x="111"/>
        <item x="70"/>
        <item x="3"/>
        <item x="106"/>
        <item x="185"/>
        <item x="73"/>
        <item x="293"/>
        <item x="75"/>
        <item x="270"/>
        <item x="192"/>
        <item x="288"/>
        <item x="244"/>
        <item x="123"/>
        <item x="14"/>
        <item x="272"/>
        <item x="327"/>
        <item x="201"/>
        <item x="300"/>
        <item x="332"/>
        <item x="55"/>
        <item x="256"/>
        <item x="6"/>
        <item x="335"/>
        <item x="152"/>
        <item x="140"/>
        <item x="265"/>
        <item x="204"/>
        <item x="184"/>
        <item x="132"/>
        <item x="197"/>
        <item x="25"/>
        <item x="41"/>
        <item x="130"/>
        <item x="141"/>
        <item x="329"/>
        <item x="334"/>
        <item x="299"/>
        <item x="292"/>
        <item x="227"/>
        <item x="258"/>
        <item x="215"/>
        <item x="153"/>
        <item x="287"/>
        <item x="224"/>
        <item x="198"/>
        <item x="51"/>
        <item x="191"/>
        <item x="190"/>
        <item x="163"/>
        <item x="32"/>
        <item x="302"/>
        <item x="209"/>
        <item x="1"/>
        <item x="263"/>
        <item x="137"/>
        <item x="178"/>
        <item x="295"/>
        <item x="15"/>
        <item x="128"/>
        <item x="119"/>
        <item x="144"/>
        <item x="60"/>
        <item x="275"/>
        <item x="218"/>
        <item x="179"/>
        <item x="101"/>
        <item x="22"/>
        <item x="330"/>
        <item x="166"/>
        <item x="150"/>
        <item x="199"/>
        <item x="17"/>
        <item x="175"/>
        <item x="146"/>
        <item x="232"/>
        <item x="136"/>
        <item x="33"/>
        <item x="294"/>
        <item x="307"/>
        <item x="207"/>
        <item x="71"/>
        <item x="345"/>
        <item x="222"/>
        <item x="221"/>
        <item x="158"/>
        <item x="105"/>
        <item x="79"/>
        <item x="82"/>
        <item x="13"/>
        <item x="58"/>
        <item x="305"/>
        <item x="284"/>
        <item x="19"/>
        <item x="36"/>
        <item x="84"/>
        <item x="306"/>
        <item x="230"/>
        <item x="259"/>
        <item x="226"/>
        <item x="194"/>
        <item x="252"/>
        <item x="149"/>
        <item x="229"/>
        <item x="316"/>
        <item x="42"/>
        <item x="97"/>
        <item x="65"/>
        <item x="282"/>
        <item x="168"/>
        <item x="139"/>
        <item x="125"/>
        <item x="162"/>
        <item x="28"/>
        <item x="83"/>
        <item x="313"/>
        <item x="81"/>
        <item x="340"/>
        <item x="341"/>
        <item x="121"/>
        <item x="246"/>
        <item x="289"/>
        <item x="279"/>
        <item x="61"/>
        <item x="231"/>
        <item x="286"/>
        <item x="242"/>
        <item x="236"/>
        <item x="114"/>
        <item x="225"/>
        <item x="56"/>
        <item x="23"/>
        <item x="145"/>
        <item x="124"/>
        <item x="116"/>
        <item x="308"/>
        <item x="291"/>
        <item x="283"/>
        <item x="320"/>
        <item x="303"/>
        <item x="182"/>
        <item x="233"/>
        <item x="113"/>
        <item x="29"/>
        <item x="203"/>
        <item x="310"/>
        <item x="344"/>
        <item x="86"/>
        <item x="147"/>
        <item x="43"/>
        <item x="180"/>
        <item x="104"/>
        <item x="24"/>
        <item x="172"/>
        <item x="49"/>
        <item x="274"/>
        <item x="154"/>
        <item x="331"/>
        <item x="319"/>
        <item x="30"/>
        <item x="202"/>
        <item x="181"/>
        <item x="205"/>
        <item x="251"/>
        <item x="85"/>
        <item x="255"/>
        <item x="271"/>
        <item x="90"/>
        <item x="48"/>
        <item x="95"/>
        <item x="206"/>
        <item x="260"/>
        <item x="243"/>
        <item x="167"/>
        <item x="268"/>
        <item x="193"/>
        <item x="76"/>
        <item x="40"/>
        <item x="159"/>
        <item x="217"/>
        <item x="87"/>
        <item x="96"/>
        <item x="318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2">
        <item x="0"/>
        <item t="default"/>
      </items>
    </pivotField>
    <pivotField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compact="0" outline="0" showAll="0">
      <items count="6">
        <item x="3"/>
        <item x="2"/>
        <item x="0"/>
        <item x="1"/>
        <item x="4"/>
        <item t="default"/>
      </items>
    </pivotField>
    <pivotField compact="0" outline="0" showAll="0">
      <items count="7">
        <item x="1"/>
        <item x="0"/>
        <item x="3"/>
        <item x="4"/>
        <item x="5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">
        <item x="1"/>
        <item x="0"/>
        <item x="2"/>
        <item x="3"/>
        <item x="4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/>
    <pivotField compact="0" numFmtId="14" outline="0" showAll="0"/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B350" headerRowDxfId="40" dataDxfId="39" totalsRowDxfId="38" headerRowBorderDxfId="37">
  <tableColumns count="28">
    <tableColumn id="1" xr3:uid="{00000000-0010-0000-0000-000001000000}" name="Marca Temporal" dataDxfId="36"/>
    <tableColumn id="2" xr3:uid="{00000000-0010-0000-0000-000002000000}" name="Correo Electrónico" dataDxfId="35"/>
    <tableColumn id="3" xr3:uid="{00000000-0010-0000-0000-000003000000}" name="Consentimiento" dataDxfId="34"/>
    <tableColumn id="4" xr3:uid="{00000000-0010-0000-0000-000004000000}" name="Estudiante de la UTP" dataDxfId="33"/>
    <tableColumn id="5" xr3:uid="{00000000-0010-0000-0000-000005000000}" name="Facultad" dataDxfId="32"/>
    <tableColumn id="6" xr3:uid="{00000000-0010-0000-0000-000006000000}" name="Encuestador" dataDxfId="31"/>
    <tableColumn id="7" xr3:uid="{00000000-0010-0000-0000-000007000000}" name="Género" dataDxfId="30"/>
    <tableColumn id="8" xr3:uid="{00000000-0010-0000-0000-000008000000}" name="Edad" dataDxfId="29"/>
    <tableColumn id="9" xr3:uid="{00000000-0010-0000-0000-000009000000}" name="Provincia o Comarca" dataDxfId="28"/>
    <tableColumn id="10" xr3:uid="{00000000-0010-0000-0000-00000A000000}" name="Carrera" dataDxfId="27"/>
    <tableColumn id="11" xr3:uid="{00000000-0010-0000-0000-00000B000000}" name="Conocimiento del término" dataDxfId="26"/>
    <tableColumn id="12" xr3:uid="{00000000-0010-0000-0000-00000C000000}" name="Fuente de Conocimiento" dataDxfId="25"/>
    <tableColumn id="13" xr3:uid="{00000000-0010-0000-0000-00000D000000}" name="Nivel de Conocimiento" dataDxfId="24"/>
    <tableColumn id="14" xr3:uid="{00000000-0010-0000-0000-00000E000000}" name="Familiaridad" dataDxfId="23"/>
    <tableColumn id="15" xr3:uid="{00000000-0010-0000-0000-00000F000000}" name="Tiempo de Estudio" dataDxfId="22"/>
    <tableColumn id="16" xr3:uid="{00000000-0010-0000-0000-000010000000}" name="Cursos Realizados" dataDxfId="21"/>
    <tableColumn id="17" xr3:uid="{00000000-0010-0000-0000-000011000000}" name="Interés en Aprender" dataDxfId="20"/>
    <tableColumn id="18" xr3:uid="{00000000-0010-0000-0000-000012000000}" name="Interés en Participar" dataDxfId="19"/>
    <tableColumn id="19" xr3:uid="{00000000-0010-0000-0000-000013000000}" name="Área de Interés" dataDxfId="18"/>
    <tableColumn id="20" xr3:uid="{00000000-0010-0000-0000-000014000000}" name="Dedicación Semanal" dataDxfId="17"/>
    <tableColumn id="21" xr3:uid="{00000000-0010-0000-0000-000015000000}" name="Actividades Extracurriculares" dataDxfId="16"/>
    <tableColumn id="22" xr3:uid="{00000000-0010-0000-0000-000016000000}" name="Impacto Futuro" dataDxfId="15"/>
    <tableColumn id="23" xr3:uid="{00000000-0010-0000-0000-000017000000}" name="Accesibilidad" dataDxfId="14"/>
    <tableColumn id="24" xr3:uid="{00000000-0010-0000-0000-000018000000}" name="Integración Universitaria" dataDxfId="13"/>
    <tableColumn id="25" xr3:uid="{00000000-0010-0000-0000-000019000000}" name="Beneficios" dataDxfId="12"/>
    <tableColumn id="26" xr3:uid="{00000000-0010-0000-0000-00001A000000}" name="Disposición a Invertir" dataDxfId="11"/>
    <tableColumn id="27" xr3:uid="{00000000-0010-0000-0000-00001B000000}" name="Desafíos" dataDxfId="10"/>
    <tableColumn id="28" xr3:uid="{432E32BD-1943-43D2-B5F9-61ED8036B303}" name="Fecha" dataDxfId="8" totalsRowDxfId="9">
      <calculatedColumnFormula>INT(A2)</calculatedColumnFormula>
    </tableColumn>
  </tableColumns>
  <tableStyleInfo name="TableStyleLight1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96D3F1-D4C6-4247-B0AC-902DC603C9FC}" name="Tabla2" displayName="Tabla2" ref="A354:B379" totalsRowShown="0" headerRowDxfId="7" dataDxfId="6">
  <autoFilter ref="A354:B379" xr:uid="{EB96D3F1-D4C6-4247-B0AC-902DC603C9FC}"/>
  <tableColumns count="2">
    <tableColumn id="2" xr3:uid="{D6E9D9F8-59BF-4C9E-B0B2-D0E46B0E1214}" name="Variables" dataDxfId="5"/>
    <tableColumn id="1" xr3:uid="{81817FC1-E5FF-4B18-81D7-C3CD153ACE20}" name="Pregunta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729C4C9-2F77-462D-BE02-3F8EDF11B6CB}" name="Tabla5" displayName="Tabla5" ref="A131:B480" totalsRowShown="0" headerRowDxfId="3" dataDxfId="2">
  <autoFilter ref="A131:B480" xr:uid="{1729C4C9-2F77-462D-BE02-3F8EDF11B6CB}"/>
  <sortState xmlns:xlrd2="http://schemas.microsoft.com/office/spreadsheetml/2017/richdata2" ref="A132:B480">
    <sortCondition ref="A131:A480"/>
  </sortState>
  <tableColumns count="2">
    <tableColumn id="1" xr3:uid="{A457CBBC-5C83-4EBC-BC00-7BDAD6A16D5B}" name="Carrera" dataDxfId="1"/>
    <tableColumn id="2" xr3:uid="{D255EEE4-7AF5-4E2E-86DC-AE3BD58A06D7}" name="Interés en Participar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5" Type="http://schemas.openxmlformats.org/officeDocument/2006/relationships/table" Target="../tables/table3.xml"/><Relationship Id="rId4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7.xml"/><Relationship Id="rId7" Type="http://schemas.openxmlformats.org/officeDocument/2006/relationships/drawing" Target="../drawings/drawing11.xml"/><Relationship Id="rId2" Type="http://schemas.openxmlformats.org/officeDocument/2006/relationships/pivotTable" Target="../pivotTables/pivotTable16.xml"/><Relationship Id="rId1" Type="http://schemas.openxmlformats.org/officeDocument/2006/relationships/pivotTable" Target="../pivotTables/pivotTable15.xml"/><Relationship Id="rId6" Type="http://schemas.openxmlformats.org/officeDocument/2006/relationships/pivotTable" Target="../pivotTables/pivotTable20.xml"/><Relationship Id="rId5" Type="http://schemas.openxmlformats.org/officeDocument/2006/relationships/pivotTable" Target="../pivotTables/pivotTable19.xml"/><Relationship Id="rId4" Type="http://schemas.openxmlformats.org/officeDocument/2006/relationships/pivotTable" Target="../pivotTables/pivotTable18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8.xml"/><Relationship Id="rId13" Type="http://schemas.openxmlformats.org/officeDocument/2006/relationships/pivotTable" Target="../pivotTables/pivotTable33.xml"/><Relationship Id="rId18" Type="http://schemas.openxmlformats.org/officeDocument/2006/relationships/pivotTable" Target="../pivotTables/pivotTable38.xml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12" Type="http://schemas.openxmlformats.org/officeDocument/2006/relationships/pivotTable" Target="../pivotTables/pivotTable32.xml"/><Relationship Id="rId17" Type="http://schemas.openxmlformats.org/officeDocument/2006/relationships/pivotTable" Target="../pivotTables/pivotTable37.xml"/><Relationship Id="rId2" Type="http://schemas.openxmlformats.org/officeDocument/2006/relationships/pivotTable" Target="../pivotTables/pivotTable22.xml"/><Relationship Id="rId16" Type="http://schemas.openxmlformats.org/officeDocument/2006/relationships/pivotTable" Target="../pivotTables/pivotTable36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11" Type="http://schemas.openxmlformats.org/officeDocument/2006/relationships/pivotTable" Target="../pivotTables/pivotTable31.xml"/><Relationship Id="rId5" Type="http://schemas.openxmlformats.org/officeDocument/2006/relationships/pivotTable" Target="../pivotTables/pivotTable25.xml"/><Relationship Id="rId15" Type="http://schemas.openxmlformats.org/officeDocument/2006/relationships/pivotTable" Target="../pivotTables/pivotTable35.xml"/><Relationship Id="rId10" Type="http://schemas.openxmlformats.org/officeDocument/2006/relationships/pivotTable" Target="../pivotTables/pivotTable30.xml"/><Relationship Id="rId4" Type="http://schemas.openxmlformats.org/officeDocument/2006/relationships/pivotTable" Target="../pivotTables/pivotTable24.xml"/><Relationship Id="rId9" Type="http://schemas.openxmlformats.org/officeDocument/2006/relationships/pivotTable" Target="../pivotTables/pivotTable29.xml"/><Relationship Id="rId14" Type="http://schemas.openxmlformats.org/officeDocument/2006/relationships/pivotTable" Target="../pivotTables/pivotTable3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379"/>
  <sheetViews>
    <sheetView topLeftCell="B1" workbookViewId="0">
      <selection activeCell="H1" sqref="H1:H350"/>
    </sheetView>
  </sheetViews>
  <sheetFormatPr defaultColWidth="12.7109375" defaultRowHeight="15.75" customHeight="1"/>
  <cols>
    <col min="1" max="1" width="18.85546875" customWidth="1"/>
    <col min="2" max="2" width="29.42578125" customWidth="1"/>
    <col min="3" max="3" width="40.42578125" customWidth="1"/>
    <col min="4" max="4" width="37.7109375" customWidth="1"/>
    <col min="5" max="5" width="48.28515625" customWidth="1"/>
    <col min="6" max="6" width="25.28515625" customWidth="1"/>
    <col min="7" max="7" width="19.85546875" customWidth="1"/>
    <col min="8" max="8" width="18.85546875" customWidth="1"/>
    <col min="9" max="9" width="37.7109375" customWidth="1"/>
    <col min="10" max="10" width="43.140625" customWidth="1"/>
    <col min="11" max="18" width="37.7109375" customWidth="1"/>
    <col min="19" max="19" width="94.85546875" customWidth="1"/>
    <col min="20" max="24" width="37.7109375" customWidth="1"/>
    <col min="25" max="25" width="83.85546875" customWidth="1"/>
    <col min="26" max="26" width="37.7109375" customWidth="1"/>
    <col min="27" max="27" width="139.42578125" customWidth="1"/>
    <col min="28" max="28" width="37.140625" style="23" customWidth="1"/>
    <col min="29" max="33" width="18.85546875" customWidth="1"/>
  </cols>
  <sheetData>
    <row r="1" spans="1:28" ht="15.75" customHeight="1">
      <c r="A1" s="54" t="s">
        <v>0</v>
      </c>
      <c r="B1" s="54" t="s">
        <v>1</v>
      </c>
      <c r="C1" s="54" t="s">
        <v>2</v>
      </c>
      <c r="D1" s="54" t="s">
        <v>3</v>
      </c>
      <c r="E1" s="54" t="s">
        <v>4</v>
      </c>
      <c r="F1" s="54" t="s">
        <v>5</v>
      </c>
      <c r="G1" s="54" t="s">
        <v>6</v>
      </c>
      <c r="H1" s="55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5" t="s">
        <v>14</v>
      </c>
      <c r="P1" s="55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5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5" t="s">
        <v>25</v>
      </c>
      <c r="AA1" s="1" t="s">
        <v>26</v>
      </c>
      <c r="AB1" s="24" t="s">
        <v>27</v>
      </c>
    </row>
    <row r="2" spans="1:28" ht="12.75">
      <c r="A2" s="56">
        <v>45951.992830844909</v>
      </c>
      <c r="B2" s="51" t="s">
        <v>28</v>
      </c>
      <c r="C2" s="51" t="s">
        <v>29</v>
      </c>
      <c r="D2" s="51" t="s">
        <v>30</v>
      </c>
      <c r="E2" s="51" t="s">
        <v>31</v>
      </c>
      <c r="F2" s="51" t="s">
        <v>32</v>
      </c>
      <c r="G2" s="51" t="s">
        <v>33</v>
      </c>
      <c r="H2" s="51">
        <v>18</v>
      </c>
      <c r="I2" s="51" t="s">
        <v>34</v>
      </c>
      <c r="J2" s="51" t="s">
        <v>35</v>
      </c>
      <c r="K2" s="51" t="s">
        <v>36</v>
      </c>
      <c r="L2" s="51" t="s">
        <v>37</v>
      </c>
      <c r="M2" s="51">
        <v>3</v>
      </c>
      <c r="N2" s="51">
        <v>2</v>
      </c>
      <c r="O2" s="52">
        <v>2.5</v>
      </c>
      <c r="P2" s="51">
        <v>0</v>
      </c>
      <c r="Q2" s="51">
        <v>4</v>
      </c>
      <c r="R2" s="51">
        <v>5</v>
      </c>
      <c r="S2" s="57" t="s">
        <v>38</v>
      </c>
      <c r="T2" s="51" t="s">
        <v>39</v>
      </c>
      <c r="U2" s="51">
        <v>0</v>
      </c>
      <c r="V2" s="51">
        <v>7</v>
      </c>
      <c r="W2" s="51">
        <v>2</v>
      </c>
      <c r="X2" s="51" t="s">
        <v>40</v>
      </c>
      <c r="Y2" s="57" t="s">
        <v>41</v>
      </c>
      <c r="Z2" s="58">
        <v>40</v>
      </c>
      <c r="AA2" s="57" t="s">
        <v>42</v>
      </c>
      <c r="AB2" s="21">
        <f t="shared" ref="AB2:AB65" si="0">INT(A2)</f>
        <v>45951</v>
      </c>
    </row>
    <row r="3" spans="1:28" ht="12.75">
      <c r="A3" s="56">
        <v>45952.377734675931</v>
      </c>
      <c r="B3" s="51" t="s">
        <v>43</v>
      </c>
      <c r="C3" s="51" t="s">
        <v>29</v>
      </c>
      <c r="D3" s="51" t="s">
        <v>30</v>
      </c>
      <c r="E3" s="51" t="s">
        <v>31</v>
      </c>
      <c r="F3" s="51" t="s">
        <v>44</v>
      </c>
      <c r="G3" s="51" t="s">
        <v>33</v>
      </c>
      <c r="H3" s="51">
        <v>18</v>
      </c>
      <c r="I3" s="51" t="s">
        <v>45</v>
      </c>
      <c r="J3" s="51" t="s">
        <v>46</v>
      </c>
      <c r="K3" s="51" t="s">
        <v>36</v>
      </c>
      <c r="L3" s="51" t="s">
        <v>47</v>
      </c>
      <c r="M3" s="51">
        <v>1</v>
      </c>
      <c r="N3" s="51">
        <v>1</v>
      </c>
      <c r="O3" s="52">
        <v>0</v>
      </c>
      <c r="P3" s="51">
        <v>0</v>
      </c>
      <c r="Q3" s="51">
        <v>3</v>
      </c>
      <c r="R3" s="51">
        <v>3</v>
      </c>
      <c r="S3" s="57" t="s">
        <v>48</v>
      </c>
      <c r="T3" s="51" t="s">
        <v>49</v>
      </c>
      <c r="U3" s="51">
        <v>2</v>
      </c>
      <c r="V3" s="51">
        <v>10</v>
      </c>
      <c r="W3" s="51">
        <v>1</v>
      </c>
      <c r="X3" s="51" t="s">
        <v>50</v>
      </c>
      <c r="Y3" s="57" t="s">
        <v>41</v>
      </c>
      <c r="Z3" s="58">
        <v>10</v>
      </c>
      <c r="AA3" s="57" t="s">
        <v>51</v>
      </c>
      <c r="AB3" s="59">
        <f t="shared" si="0"/>
        <v>45952</v>
      </c>
    </row>
    <row r="4" spans="1:28" ht="12.75">
      <c r="A4" s="56">
        <v>45952.904007916666</v>
      </c>
      <c r="B4" s="51" t="s">
        <v>52</v>
      </c>
      <c r="C4" s="51" t="s">
        <v>29</v>
      </c>
      <c r="D4" s="51" t="s">
        <v>30</v>
      </c>
      <c r="E4" s="51" t="s">
        <v>31</v>
      </c>
      <c r="F4" s="51" t="s">
        <v>53</v>
      </c>
      <c r="G4" s="51" t="s">
        <v>54</v>
      </c>
      <c r="H4" s="51">
        <v>18</v>
      </c>
      <c r="I4" s="51" t="s">
        <v>34</v>
      </c>
      <c r="J4" s="51" t="s">
        <v>35</v>
      </c>
      <c r="K4" s="51" t="s">
        <v>36</v>
      </c>
      <c r="L4" s="51" t="s">
        <v>47</v>
      </c>
      <c r="M4" s="51">
        <v>1</v>
      </c>
      <c r="N4" s="51">
        <v>1</v>
      </c>
      <c r="O4" s="52">
        <v>0</v>
      </c>
      <c r="P4" s="51">
        <v>0</v>
      </c>
      <c r="Q4" s="51">
        <v>4</v>
      </c>
      <c r="R4" s="51">
        <v>2</v>
      </c>
      <c r="S4" s="57" t="s">
        <v>55</v>
      </c>
      <c r="T4" s="51" t="s">
        <v>49</v>
      </c>
      <c r="U4" s="51">
        <v>0</v>
      </c>
      <c r="V4" s="51">
        <v>7</v>
      </c>
      <c r="W4" s="51">
        <v>1</v>
      </c>
      <c r="X4" s="51" t="s">
        <v>50</v>
      </c>
      <c r="Y4" s="57" t="s">
        <v>56</v>
      </c>
      <c r="Z4" s="58">
        <v>5.99</v>
      </c>
      <c r="AA4" s="57" t="s">
        <v>57</v>
      </c>
      <c r="AB4" s="59">
        <f t="shared" si="0"/>
        <v>45952</v>
      </c>
    </row>
    <row r="5" spans="1:28" ht="12.75">
      <c r="A5" s="56">
        <v>45953.398383263891</v>
      </c>
      <c r="B5" s="51" t="s">
        <v>58</v>
      </c>
      <c r="C5" s="51" t="s">
        <v>29</v>
      </c>
      <c r="D5" s="51" t="s">
        <v>30</v>
      </c>
      <c r="E5" s="51" t="s">
        <v>31</v>
      </c>
      <c r="F5" s="51" t="s">
        <v>53</v>
      </c>
      <c r="G5" s="51" t="s">
        <v>54</v>
      </c>
      <c r="H5" s="51">
        <v>18</v>
      </c>
      <c r="I5" s="51" t="s">
        <v>34</v>
      </c>
      <c r="J5" s="51" t="s">
        <v>35</v>
      </c>
      <c r="K5" s="51" t="s">
        <v>36</v>
      </c>
      <c r="L5" s="51" t="s">
        <v>37</v>
      </c>
      <c r="M5" s="51">
        <v>2</v>
      </c>
      <c r="N5" s="51">
        <v>1</v>
      </c>
      <c r="O5" s="52">
        <v>3.75</v>
      </c>
      <c r="P5" s="51">
        <v>0</v>
      </c>
      <c r="Q5" s="51">
        <v>5</v>
      </c>
      <c r="R5" s="51">
        <v>3</v>
      </c>
      <c r="S5" s="57" t="s">
        <v>59</v>
      </c>
      <c r="T5" s="51" t="s">
        <v>49</v>
      </c>
      <c r="U5" s="51">
        <v>2</v>
      </c>
      <c r="V5" s="51">
        <v>10</v>
      </c>
      <c r="W5" s="51">
        <v>3</v>
      </c>
      <c r="X5" s="51" t="s">
        <v>60</v>
      </c>
      <c r="Y5" s="57" t="s">
        <v>61</v>
      </c>
      <c r="Z5" s="58">
        <v>9.99</v>
      </c>
      <c r="AA5" s="57" t="s">
        <v>62</v>
      </c>
      <c r="AB5" s="59">
        <f t="shared" si="0"/>
        <v>45953</v>
      </c>
    </row>
    <row r="6" spans="1:28" ht="12.75">
      <c r="A6" s="56">
        <v>45953.456708622689</v>
      </c>
      <c r="B6" s="51" t="s">
        <v>63</v>
      </c>
      <c r="C6" s="51" t="s">
        <v>29</v>
      </c>
      <c r="D6" s="51" t="s">
        <v>30</v>
      </c>
      <c r="E6" s="51" t="s">
        <v>31</v>
      </c>
      <c r="F6" s="51" t="s">
        <v>53</v>
      </c>
      <c r="G6" s="51" t="s">
        <v>33</v>
      </c>
      <c r="H6" s="51">
        <v>18</v>
      </c>
      <c r="I6" s="51" t="s">
        <v>34</v>
      </c>
      <c r="J6" s="51" t="s">
        <v>64</v>
      </c>
      <c r="K6" s="51" t="s">
        <v>36</v>
      </c>
      <c r="L6" s="51" t="s">
        <v>47</v>
      </c>
      <c r="M6" s="51">
        <v>1</v>
      </c>
      <c r="N6" s="51">
        <v>1</v>
      </c>
      <c r="O6" s="52">
        <v>0</v>
      </c>
      <c r="P6" s="51">
        <v>0</v>
      </c>
      <c r="Q6" s="51">
        <v>4</v>
      </c>
      <c r="R6" s="51">
        <v>2</v>
      </c>
      <c r="S6" s="57" t="s">
        <v>55</v>
      </c>
      <c r="T6" s="51" t="s">
        <v>49</v>
      </c>
      <c r="U6" s="51">
        <v>0</v>
      </c>
      <c r="V6" s="51">
        <v>6</v>
      </c>
      <c r="W6" s="51">
        <v>1</v>
      </c>
      <c r="X6" s="51" t="s">
        <v>40</v>
      </c>
      <c r="Y6" s="57" t="s">
        <v>65</v>
      </c>
      <c r="Z6" s="58">
        <v>20.5</v>
      </c>
      <c r="AA6" s="57" t="s">
        <v>66</v>
      </c>
      <c r="AB6" s="59">
        <f t="shared" si="0"/>
        <v>45953</v>
      </c>
    </row>
    <row r="7" spans="1:28" ht="12.75">
      <c r="A7" s="56">
        <v>45953.460177349538</v>
      </c>
      <c r="B7" s="51" t="s">
        <v>67</v>
      </c>
      <c r="C7" s="51" t="s">
        <v>29</v>
      </c>
      <c r="D7" s="51" t="s">
        <v>30</v>
      </c>
      <c r="E7" s="51" t="s">
        <v>31</v>
      </c>
      <c r="F7" s="51" t="s">
        <v>53</v>
      </c>
      <c r="G7" s="51" t="s">
        <v>54</v>
      </c>
      <c r="H7" s="51">
        <v>18</v>
      </c>
      <c r="I7" s="51" t="s">
        <v>34</v>
      </c>
      <c r="J7" s="51" t="s">
        <v>46</v>
      </c>
      <c r="K7" s="51" t="s">
        <v>36</v>
      </c>
      <c r="L7" s="51" t="s">
        <v>68</v>
      </c>
      <c r="M7" s="51">
        <v>1</v>
      </c>
      <c r="N7" s="51">
        <v>1</v>
      </c>
      <c r="O7" s="52">
        <v>0</v>
      </c>
      <c r="P7" s="51">
        <v>0</v>
      </c>
      <c r="Q7" s="51">
        <v>3</v>
      </c>
      <c r="R7" s="51">
        <v>3</v>
      </c>
      <c r="S7" s="57" t="s">
        <v>59</v>
      </c>
      <c r="T7" s="51" t="s">
        <v>39</v>
      </c>
      <c r="U7" s="51">
        <v>0</v>
      </c>
      <c r="V7" s="51">
        <v>6</v>
      </c>
      <c r="W7" s="51">
        <v>3</v>
      </c>
      <c r="X7" s="51" t="s">
        <v>69</v>
      </c>
      <c r="Y7" s="57" t="s">
        <v>70</v>
      </c>
      <c r="Z7" s="58">
        <v>10.5</v>
      </c>
      <c r="AA7" s="57" t="s">
        <v>71</v>
      </c>
      <c r="AB7" s="59">
        <f t="shared" si="0"/>
        <v>45953</v>
      </c>
    </row>
    <row r="8" spans="1:28" ht="12.75">
      <c r="A8" s="56">
        <v>45953.829564189815</v>
      </c>
      <c r="B8" s="51" t="s">
        <v>72</v>
      </c>
      <c r="C8" s="51" t="s">
        <v>29</v>
      </c>
      <c r="D8" s="51" t="s">
        <v>30</v>
      </c>
      <c r="E8" s="51" t="s">
        <v>31</v>
      </c>
      <c r="F8" s="51" t="s">
        <v>32</v>
      </c>
      <c r="G8" s="51" t="s">
        <v>73</v>
      </c>
      <c r="H8" s="51">
        <v>18</v>
      </c>
      <c r="I8" s="51" t="s">
        <v>34</v>
      </c>
      <c r="J8" s="51" t="s">
        <v>64</v>
      </c>
      <c r="K8" s="51" t="s">
        <v>36</v>
      </c>
      <c r="L8" s="51" t="s">
        <v>74</v>
      </c>
      <c r="M8" s="51">
        <v>5</v>
      </c>
      <c r="N8" s="51">
        <v>5</v>
      </c>
      <c r="O8" s="52">
        <v>1</v>
      </c>
      <c r="P8" s="51">
        <v>0</v>
      </c>
      <c r="Q8" s="51">
        <v>5</v>
      </c>
      <c r="R8" s="51">
        <v>1</v>
      </c>
      <c r="S8" s="57" t="s">
        <v>75</v>
      </c>
      <c r="T8" s="51" t="s">
        <v>49</v>
      </c>
      <c r="U8" s="51">
        <v>0</v>
      </c>
      <c r="V8" s="51">
        <v>7</v>
      </c>
      <c r="W8" s="51">
        <v>1</v>
      </c>
      <c r="X8" s="51" t="s">
        <v>50</v>
      </c>
      <c r="Y8" s="57" t="s">
        <v>76</v>
      </c>
      <c r="Z8" s="58">
        <v>5</v>
      </c>
      <c r="AA8" s="57" t="s">
        <v>77</v>
      </c>
      <c r="AB8" s="59">
        <f>INT(A8)</f>
        <v>45953</v>
      </c>
    </row>
    <row r="9" spans="1:28" ht="12.75">
      <c r="A9" s="56">
        <v>45954.566558703707</v>
      </c>
      <c r="B9" s="51" t="s">
        <v>78</v>
      </c>
      <c r="C9" s="51" t="s">
        <v>29</v>
      </c>
      <c r="D9" s="51" t="s">
        <v>30</v>
      </c>
      <c r="E9" s="51" t="s">
        <v>31</v>
      </c>
      <c r="F9" s="51" t="s">
        <v>44</v>
      </c>
      <c r="G9" s="51" t="s">
        <v>54</v>
      </c>
      <c r="H9" s="51">
        <v>18</v>
      </c>
      <c r="I9" s="51" t="s">
        <v>45</v>
      </c>
      <c r="J9" s="51" t="s">
        <v>79</v>
      </c>
      <c r="K9" s="51" t="s">
        <v>36</v>
      </c>
      <c r="L9" s="51" t="s">
        <v>47</v>
      </c>
      <c r="M9" s="51">
        <v>1</v>
      </c>
      <c r="N9" s="51">
        <v>1</v>
      </c>
      <c r="O9" s="52">
        <v>0</v>
      </c>
      <c r="P9" s="51">
        <v>0</v>
      </c>
      <c r="Q9" s="51">
        <v>3</v>
      </c>
      <c r="R9" s="51">
        <v>2</v>
      </c>
      <c r="S9" s="57" t="s">
        <v>80</v>
      </c>
      <c r="T9" s="51" t="s">
        <v>81</v>
      </c>
      <c r="U9" s="51">
        <v>1</v>
      </c>
      <c r="V9" s="51">
        <v>7</v>
      </c>
      <c r="W9" s="51">
        <v>1</v>
      </c>
      <c r="X9" s="51" t="s">
        <v>40</v>
      </c>
      <c r="Y9" s="57" t="s">
        <v>82</v>
      </c>
      <c r="Z9" s="58">
        <v>0</v>
      </c>
      <c r="AA9" s="57" t="s">
        <v>83</v>
      </c>
      <c r="AB9" s="59">
        <f t="shared" si="0"/>
        <v>45954</v>
      </c>
    </row>
    <row r="10" spans="1:28" ht="12.75">
      <c r="A10" s="56">
        <v>45954.803987106483</v>
      </c>
      <c r="B10" s="51" t="s">
        <v>84</v>
      </c>
      <c r="C10" s="51" t="s">
        <v>29</v>
      </c>
      <c r="D10" s="51" t="s">
        <v>30</v>
      </c>
      <c r="E10" s="51" t="s">
        <v>31</v>
      </c>
      <c r="F10" s="51" t="s">
        <v>85</v>
      </c>
      <c r="G10" s="51" t="s">
        <v>33</v>
      </c>
      <c r="H10" s="51">
        <v>18</v>
      </c>
      <c r="I10" s="51" t="s">
        <v>34</v>
      </c>
      <c r="J10" s="51" t="s">
        <v>79</v>
      </c>
      <c r="K10" s="51" t="s">
        <v>36</v>
      </c>
      <c r="L10" s="51" t="s">
        <v>68</v>
      </c>
      <c r="M10" s="51">
        <v>1</v>
      </c>
      <c r="N10" s="51">
        <v>2</v>
      </c>
      <c r="O10" s="52">
        <v>1</v>
      </c>
      <c r="P10" s="51">
        <v>0</v>
      </c>
      <c r="Q10" s="51">
        <v>2</v>
      </c>
      <c r="R10" s="51">
        <v>3</v>
      </c>
      <c r="S10" s="57" t="s">
        <v>86</v>
      </c>
      <c r="T10" s="51" t="s">
        <v>49</v>
      </c>
      <c r="U10" s="51">
        <v>0</v>
      </c>
      <c r="V10" s="51">
        <v>8</v>
      </c>
      <c r="W10" s="51">
        <v>1</v>
      </c>
      <c r="X10" s="51" t="s">
        <v>60</v>
      </c>
      <c r="Y10" s="57" t="s">
        <v>82</v>
      </c>
      <c r="Z10" s="58">
        <v>0</v>
      </c>
      <c r="AA10" s="57" t="s">
        <v>87</v>
      </c>
      <c r="AB10" s="59">
        <f t="shared" si="0"/>
        <v>45954</v>
      </c>
    </row>
    <row r="11" spans="1:28" ht="12.75">
      <c r="A11" s="56">
        <v>45954.907623182866</v>
      </c>
      <c r="B11" s="51" t="s">
        <v>88</v>
      </c>
      <c r="C11" s="51" t="s">
        <v>29</v>
      </c>
      <c r="D11" s="51" t="s">
        <v>30</v>
      </c>
      <c r="E11" s="51" t="s">
        <v>31</v>
      </c>
      <c r="F11" s="51" t="s">
        <v>32</v>
      </c>
      <c r="G11" s="51" t="s">
        <v>33</v>
      </c>
      <c r="H11" s="51">
        <v>18</v>
      </c>
      <c r="I11" s="51" t="s">
        <v>34</v>
      </c>
      <c r="J11" s="51" t="s">
        <v>89</v>
      </c>
      <c r="K11" s="51" t="s">
        <v>90</v>
      </c>
      <c r="L11" s="51" t="s">
        <v>47</v>
      </c>
      <c r="M11" s="51">
        <v>1</v>
      </c>
      <c r="N11" s="51">
        <v>1</v>
      </c>
      <c r="O11" s="52">
        <v>0</v>
      </c>
      <c r="P11" s="51">
        <v>0</v>
      </c>
      <c r="Q11" s="51">
        <v>2</v>
      </c>
      <c r="R11" s="51">
        <v>5</v>
      </c>
      <c r="S11" s="57" t="s">
        <v>91</v>
      </c>
      <c r="T11" s="51" t="s">
        <v>49</v>
      </c>
      <c r="U11" s="51">
        <v>0</v>
      </c>
      <c r="V11" s="51">
        <v>8</v>
      </c>
      <c r="W11" s="51">
        <v>1</v>
      </c>
      <c r="X11" s="51" t="s">
        <v>40</v>
      </c>
      <c r="Y11" s="57" t="s">
        <v>41</v>
      </c>
      <c r="Z11" s="58">
        <v>15</v>
      </c>
      <c r="AA11" s="57" t="s">
        <v>92</v>
      </c>
      <c r="AB11" s="59">
        <f t="shared" si="0"/>
        <v>45954</v>
      </c>
    </row>
    <row r="12" spans="1:28" ht="12.75">
      <c r="A12" s="56">
        <v>45951.984595497684</v>
      </c>
      <c r="B12" s="51" t="s">
        <v>93</v>
      </c>
      <c r="C12" s="51" t="s">
        <v>29</v>
      </c>
      <c r="D12" s="51" t="s">
        <v>30</v>
      </c>
      <c r="E12" s="51" t="s">
        <v>31</v>
      </c>
      <c r="F12" s="51" t="s">
        <v>32</v>
      </c>
      <c r="G12" s="51" t="s">
        <v>54</v>
      </c>
      <c r="H12" s="51">
        <v>19</v>
      </c>
      <c r="I12" s="51" t="s">
        <v>34</v>
      </c>
      <c r="J12" s="51" t="s">
        <v>79</v>
      </c>
      <c r="K12" s="51" t="s">
        <v>90</v>
      </c>
      <c r="L12" s="51" t="s">
        <v>47</v>
      </c>
      <c r="M12" s="51">
        <v>1</v>
      </c>
      <c r="N12" s="51">
        <v>1</v>
      </c>
      <c r="O12" s="52">
        <v>0</v>
      </c>
      <c r="P12" s="51">
        <v>0</v>
      </c>
      <c r="Q12" s="51">
        <v>4</v>
      </c>
      <c r="R12" s="51">
        <v>5</v>
      </c>
      <c r="S12" s="57" t="s">
        <v>38</v>
      </c>
      <c r="T12" s="51" t="s">
        <v>94</v>
      </c>
      <c r="U12" s="51">
        <v>1</v>
      </c>
      <c r="V12" s="51">
        <v>8</v>
      </c>
      <c r="W12" s="51">
        <v>4</v>
      </c>
      <c r="X12" s="51" t="s">
        <v>50</v>
      </c>
      <c r="Y12" s="57" t="s">
        <v>95</v>
      </c>
      <c r="Z12" s="58">
        <v>15</v>
      </c>
      <c r="AA12" s="57" t="s">
        <v>77</v>
      </c>
      <c r="AB12" s="59">
        <f t="shared" si="0"/>
        <v>45951</v>
      </c>
    </row>
    <row r="13" spans="1:28" ht="12.75">
      <c r="A13" s="56">
        <v>45951.994762037037</v>
      </c>
      <c r="B13" s="51" t="s">
        <v>96</v>
      </c>
      <c r="C13" s="51" t="s">
        <v>29</v>
      </c>
      <c r="D13" s="51" t="s">
        <v>30</v>
      </c>
      <c r="E13" s="51" t="s">
        <v>31</v>
      </c>
      <c r="F13" s="51" t="s">
        <v>32</v>
      </c>
      <c r="G13" s="51" t="s">
        <v>33</v>
      </c>
      <c r="H13" s="51">
        <v>19</v>
      </c>
      <c r="I13" s="51" t="s">
        <v>34</v>
      </c>
      <c r="J13" s="51" t="s">
        <v>64</v>
      </c>
      <c r="K13" s="51" t="s">
        <v>90</v>
      </c>
      <c r="L13" s="51" t="s">
        <v>47</v>
      </c>
      <c r="M13" s="51">
        <v>1</v>
      </c>
      <c r="N13" s="51">
        <v>1</v>
      </c>
      <c r="O13" s="52">
        <v>0</v>
      </c>
      <c r="P13" s="51">
        <v>0</v>
      </c>
      <c r="Q13" s="51">
        <v>2</v>
      </c>
      <c r="R13" s="51">
        <v>4</v>
      </c>
      <c r="S13" s="57" t="s">
        <v>86</v>
      </c>
      <c r="T13" s="51" t="s">
        <v>49</v>
      </c>
      <c r="U13" s="51">
        <v>1</v>
      </c>
      <c r="V13" s="51">
        <v>9</v>
      </c>
      <c r="W13" s="51">
        <v>1</v>
      </c>
      <c r="X13" s="51" t="s">
        <v>40</v>
      </c>
      <c r="Y13" s="57" t="s">
        <v>97</v>
      </c>
      <c r="Z13" s="58">
        <v>35</v>
      </c>
      <c r="AA13" s="57" t="s">
        <v>92</v>
      </c>
      <c r="AB13" s="59">
        <f t="shared" si="0"/>
        <v>45951</v>
      </c>
    </row>
    <row r="14" spans="1:28" ht="12.75">
      <c r="A14" s="56">
        <v>45952.008871921294</v>
      </c>
      <c r="B14" s="51" t="s">
        <v>98</v>
      </c>
      <c r="C14" s="51" t="s">
        <v>29</v>
      </c>
      <c r="D14" s="51" t="s">
        <v>30</v>
      </c>
      <c r="E14" s="51" t="s">
        <v>31</v>
      </c>
      <c r="F14" s="51" t="s">
        <v>32</v>
      </c>
      <c r="G14" s="51" t="s">
        <v>54</v>
      </c>
      <c r="H14" s="51">
        <v>19</v>
      </c>
      <c r="I14" s="51" t="s">
        <v>99</v>
      </c>
      <c r="J14" s="51" t="s">
        <v>64</v>
      </c>
      <c r="K14" s="51" t="s">
        <v>36</v>
      </c>
      <c r="L14" s="51" t="s">
        <v>100</v>
      </c>
      <c r="M14" s="51">
        <v>4</v>
      </c>
      <c r="N14" s="51">
        <v>5</v>
      </c>
      <c r="O14" s="52">
        <v>5</v>
      </c>
      <c r="P14" s="51">
        <v>0</v>
      </c>
      <c r="Q14" s="51">
        <v>5</v>
      </c>
      <c r="R14" s="51">
        <v>5</v>
      </c>
      <c r="S14" s="57" t="s">
        <v>101</v>
      </c>
      <c r="T14" s="51" t="s">
        <v>102</v>
      </c>
      <c r="U14" s="51">
        <v>7</v>
      </c>
      <c r="V14" s="51">
        <v>10</v>
      </c>
      <c r="W14" s="51">
        <v>1</v>
      </c>
      <c r="X14" s="51" t="s">
        <v>69</v>
      </c>
      <c r="Y14" s="57" t="s">
        <v>103</v>
      </c>
      <c r="Z14" s="58">
        <v>20</v>
      </c>
      <c r="AA14" s="57" t="s">
        <v>104</v>
      </c>
      <c r="AB14" s="59">
        <f t="shared" si="0"/>
        <v>45952</v>
      </c>
    </row>
    <row r="15" spans="1:28" ht="12.75">
      <c r="A15" s="56">
        <v>45952.175051782411</v>
      </c>
      <c r="B15" s="51" t="s">
        <v>105</v>
      </c>
      <c r="C15" s="51" t="s">
        <v>29</v>
      </c>
      <c r="D15" s="51" t="s">
        <v>30</v>
      </c>
      <c r="E15" s="51" t="s">
        <v>31</v>
      </c>
      <c r="F15" s="51" t="s">
        <v>44</v>
      </c>
      <c r="G15" s="51" t="s">
        <v>54</v>
      </c>
      <c r="H15" s="51">
        <v>19</v>
      </c>
      <c r="I15" s="51" t="s">
        <v>34</v>
      </c>
      <c r="J15" s="51" t="s">
        <v>46</v>
      </c>
      <c r="K15" s="51" t="s">
        <v>36</v>
      </c>
      <c r="L15" s="51" t="s">
        <v>68</v>
      </c>
      <c r="M15" s="51">
        <v>2</v>
      </c>
      <c r="N15" s="51">
        <v>2</v>
      </c>
      <c r="O15" s="52">
        <v>1.5</v>
      </c>
      <c r="P15" s="51">
        <v>0</v>
      </c>
      <c r="Q15" s="51">
        <v>4</v>
      </c>
      <c r="R15" s="51">
        <v>3</v>
      </c>
      <c r="S15" s="57" t="s">
        <v>38</v>
      </c>
      <c r="T15" s="51" t="s">
        <v>49</v>
      </c>
      <c r="U15" s="51">
        <v>1</v>
      </c>
      <c r="V15" s="51">
        <v>9</v>
      </c>
      <c r="W15" s="51">
        <v>1</v>
      </c>
      <c r="X15" s="51" t="s">
        <v>50</v>
      </c>
      <c r="Y15" s="57" t="s">
        <v>106</v>
      </c>
      <c r="Z15" s="58">
        <v>10</v>
      </c>
      <c r="AA15" s="57" t="s">
        <v>42</v>
      </c>
      <c r="AB15" s="59">
        <f t="shared" si="0"/>
        <v>45952</v>
      </c>
    </row>
    <row r="16" spans="1:28" ht="12.75">
      <c r="A16" s="56">
        <v>45952.874725046291</v>
      </c>
      <c r="B16" s="51" t="s">
        <v>107</v>
      </c>
      <c r="C16" s="51" t="s">
        <v>29</v>
      </c>
      <c r="D16" s="51" t="s">
        <v>30</v>
      </c>
      <c r="E16" s="51" t="s">
        <v>31</v>
      </c>
      <c r="F16" s="51" t="s">
        <v>53</v>
      </c>
      <c r="G16" s="51" t="s">
        <v>54</v>
      </c>
      <c r="H16" s="51">
        <v>19</v>
      </c>
      <c r="I16" s="51" t="s">
        <v>34</v>
      </c>
      <c r="J16" s="51" t="s">
        <v>108</v>
      </c>
      <c r="K16" s="51" t="s">
        <v>36</v>
      </c>
      <c r="L16" s="51" t="s">
        <v>68</v>
      </c>
      <c r="M16" s="51">
        <v>1</v>
      </c>
      <c r="N16" s="51">
        <v>1</v>
      </c>
      <c r="O16" s="52">
        <v>3</v>
      </c>
      <c r="P16" s="51">
        <v>0</v>
      </c>
      <c r="Q16" s="51">
        <v>5</v>
      </c>
      <c r="R16" s="51">
        <v>5</v>
      </c>
      <c r="S16" s="57" t="s">
        <v>48</v>
      </c>
      <c r="T16" s="51" t="s">
        <v>94</v>
      </c>
      <c r="U16" s="51">
        <v>0</v>
      </c>
      <c r="V16" s="51">
        <v>10</v>
      </c>
      <c r="W16" s="51">
        <v>3</v>
      </c>
      <c r="X16" s="51" t="s">
        <v>50</v>
      </c>
      <c r="Y16" s="57" t="s">
        <v>109</v>
      </c>
      <c r="Z16" s="58">
        <v>250.9</v>
      </c>
      <c r="AA16" s="57" t="s">
        <v>51</v>
      </c>
      <c r="AB16" s="59">
        <f t="shared" si="0"/>
        <v>45952</v>
      </c>
    </row>
    <row r="17" spans="1:28" ht="12.75">
      <c r="A17" s="56">
        <v>45952.930946180553</v>
      </c>
      <c r="B17" s="51" t="s">
        <v>110</v>
      </c>
      <c r="C17" s="51" t="s">
        <v>29</v>
      </c>
      <c r="D17" s="51" t="s">
        <v>30</v>
      </c>
      <c r="E17" s="51" t="s">
        <v>31</v>
      </c>
      <c r="F17" s="51" t="s">
        <v>53</v>
      </c>
      <c r="G17" s="51" t="s">
        <v>54</v>
      </c>
      <c r="H17" s="51">
        <v>19</v>
      </c>
      <c r="I17" s="51" t="s">
        <v>34</v>
      </c>
      <c r="J17" s="51" t="s">
        <v>89</v>
      </c>
      <c r="K17" s="51" t="s">
        <v>90</v>
      </c>
      <c r="L17" s="51" t="s">
        <v>47</v>
      </c>
      <c r="M17" s="51">
        <v>1</v>
      </c>
      <c r="N17" s="51">
        <v>1</v>
      </c>
      <c r="O17" s="52">
        <v>1</v>
      </c>
      <c r="P17" s="51">
        <v>0</v>
      </c>
      <c r="Q17" s="51">
        <v>3</v>
      </c>
      <c r="R17" s="51">
        <v>2</v>
      </c>
      <c r="S17" s="57" t="s">
        <v>80</v>
      </c>
      <c r="T17" s="51" t="s">
        <v>49</v>
      </c>
      <c r="U17" s="51">
        <v>0</v>
      </c>
      <c r="V17" s="51">
        <v>5</v>
      </c>
      <c r="W17" s="51">
        <v>3</v>
      </c>
      <c r="X17" s="51" t="s">
        <v>60</v>
      </c>
      <c r="Y17" s="57" t="s">
        <v>82</v>
      </c>
      <c r="Z17" s="58">
        <v>15.99</v>
      </c>
      <c r="AA17" s="57" t="s">
        <v>111</v>
      </c>
      <c r="AB17" s="59">
        <f t="shared" si="0"/>
        <v>45952</v>
      </c>
    </row>
    <row r="18" spans="1:28" ht="12.75">
      <c r="A18" s="56">
        <v>45953.530897291668</v>
      </c>
      <c r="B18" s="51" t="s">
        <v>112</v>
      </c>
      <c r="C18" s="51" t="s">
        <v>29</v>
      </c>
      <c r="D18" s="51" t="s">
        <v>30</v>
      </c>
      <c r="E18" s="51" t="s">
        <v>31</v>
      </c>
      <c r="F18" s="51" t="s">
        <v>53</v>
      </c>
      <c r="G18" s="51" t="s">
        <v>54</v>
      </c>
      <c r="H18" s="51">
        <v>19</v>
      </c>
      <c r="I18" s="51" t="s">
        <v>34</v>
      </c>
      <c r="J18" s="51" t="s">
        <v>35</v>
      </c>
      <c r="K18" s="51" t="s">
        <v>36</v>
      </c>
      <c r="L18" s="51" t="s">
        <v>113</v>
      </c>
      <c r="M18" s="51">
        <v>2</v>
      </c>
      <c r="N18" s="51">
        <v>1</v>
      </c>
      <c r="O18" s="52">
        <v>18.5</v>
      </c>
      <c r="P18" s="51">
        <v>2</v>
      </c>
      <c r="Q18" s="51">
        <v>5</v>
      </c>
      <c r="R18" s="51">
        <v>1</v>
      </c>
      <c r="S18" s="57" t="s">
        <v>75</v>
      </c>
      <c r="T18" s="51" t="s">
        <v>94</v>
      </c>
      <c r="U18" s="51">
        <v>1</v>
      </c>
      <c r="V18" s="51">
        <v>8</v>
      </c>
      <c r="W18" s="51">
        <v>3</v>
      </c>
      <c r="X18" s="51" t="s">
        <v>69</v>
      </c>
      <c r="Y18" s="57" t="s">
        <v>76</v>
      </c>
      <c r="Z18" s="58">
        <v>29.99</v>
      </c>
      <c r="AA18" s="57" t="s">
        <v>114</v>
      </c>
      <c r="AB18" s="59">
        <f t="shared" si="0"/>
        <v>45953</v>
      </c>
    </row>
    <row r="19" spans="1:28" ht="12.75">
      <c r="A19" s="56">
        <v>45953.534326527777</v>
      </c>
      <c r="B19" s="51" t="s">
        <v>115</v>
      </c>
      <c r="C19" s="51" t="s">
        <v>29</v>
      </c>
      <c r="D19" s="51" t="s">
        <v>30</v>
      </c>
      <c r="E19" s="51" t="s">
        <v>31</v>
      </c>
      <c r="F19" s="51" t="s">
        <v>53</v>
      </c>
      <c r="G19" s="51" t="s">
        <v>54</v>
      </c>
      <c r="H19" s="51">
        <v>19</v>
      </c>
      <c r="I19" s="51" t="s">
        <v>34</v>
      </c>
      <c r="J19" s="51" t="s">
        <v>108</v>
      </c>
      <c r="K19" s="51" t="s">
        <v>36</v>
      </c>
      <c r="L19" s="51" t="s">
        <v>113</v>
      </c>
      <c r="M19" s="51">
        <v>2</v>
      </c>
      <c r="N19" s="51">
        <v>1</v>
      </c>
      <c r="O19" s="52">
        <v>4.5</v>
      </c>
      <c r="P19" s="51">
        <v>0</v>
      </c>
      <c r="Q19" s="51">
        <v>5</v>
      </c>
      <c r="R19" s="51">
        <v>2</v>
      </c>
      <c r="S19" s="57" t="s">
        <v>75</v>
      </c>
      <c r="T19" s="51" t="s">
        <v>94</v>
      </c>
      <c r="U19" s="51">
        <v>1</v>
      </c>
      <c r="V19" s="51">
        <v>9</v>
      </c>
      <c r="W19" s="51">
        <v>1</v>
      </c>
      <c r="X19" s="51" t="s">
        <v>40</v>
      </c>
      <c r="Y19" s="57" t="s">
        <v>65</v>
      </c>
      <c r="Z19" s="58">
        <v>40.5</v>
      </c>
      <c r="AA19" s="57" t="s">
        <v>116</v>
      </c>
      <c r="AB19" s="59">
        <f t="shared" si="0"/>
        <v>45953</v>
      </c>
    </row>
    <row r="20" spans="1:28" ht="12.75">
      <c r="A20" s="56">
        <v>45953.537766215275</v>
      </c>
      <c r="B20" s="51" t="s">
        <v>117</v>
      </c>
      <c r="C20" s="51" t="s">
        <v>29</v>
      </c>
      <c r="D20" s="51" t="s">
        <v>30</v>
      </c>
      <c r="E20" s="51" t="s">
        <v>31</v>
      </c>
      <c r="F20" s="51" t="s">
        <v>53</v>
      </c>
      <c r="G20" s="51" t="s">
        <v>33</v>
      </c>
      <c r="H20" s="51">
        <v>19</v>
      </c>
      <c r="I20" s="51" t="s">
        <v>34</v>
      </c>
      <c r="J20" s="51" t="s">
        <v>108</v>
      </c>
      <c r="K20" s="51" t="s">
        <v>36</v>
      </c>
      <c r="L20" s="51" t="s">
        <v>113</v>
      </c>
      <c r="M20" s="51">
        <v>1</v>
      </c>
      <c r="N20" s="51">
        <v>1</v>
      </c>
      <c r="O20" s="52">
        <v>0</v>
      </c>
      <c r="P20" s="51">
        <v>0</v>
      </c>
      <c r="Q20" s="51">
        <v>3</v>
      </c>
      <c r="R20" s="51">
        <v>2</v>
      </c>
      <c r="S20" s="57" t="s">
        <v>59</v>
      </c>
      <c r="T20" s="51" t="s">
        <v>49</v>
      </c>
      <c r="U20" s="51">
        <v>0</v>
      </c>
      <c r="V20" s="51">
        <v>6</v>
      </c>
      <c r="W20" s="51">
        <v>3</v>
      </c>
      <c r="X20" s="51" t="s">
        <v>69</v>
      </c>
      <c r="Y20" s="57" t="s">
        <v>118</v>
      </c>
      <c r="Z20" s="58">
        <v>22.5</v>
      </c>
      <c r="AA20" s="57" t="s">
        <v>119</v>
      </c>
      <c r="AB20" s="59">
        <f t="shared" si="0"/>
        <v>45953</v>
      </c>
    </row>
    <row r="21" spans="1:28" ht="12.75">
      <c r="A21" s="56">
        <v>45953.547414131943</v>
      </c>
      <c r="B21" s="51" t="s">
        <v>120</v>
      </c>
      <c r="C21" s="51" t="s">
        <v>29</v>
      </c>
      <c r="D21" s="51" t="s">
        <v>30</v>
      </c>
      <c r="E21" s="51" t="s">
        <v>31</v>
      </c>
      <c r="F21" s="51" t="s">
        <v>53</v>
      </c>
      <c r="G21" s="51" t="s">
        <v>33</v>
      </c>
      <c r="H21" s="51">
        <v>19</v>
      </c>
      <c r="I21" s="51" t="s">
        <v>34</v>
      </c>
      <c r="J21" s="51" t="s">
        <v>108</v>
      </c>
      <c r="K21" s="51" t="s">
        <v>90</v>
      </c>
      <c r="L21" s="51" t="s">
        <v>47</v>
      </c>
      <c r="M21" s="51">
        <v>1</v>
      </c>
      <c r="N21" s="51">
        <v>1</v>
      </c>
      <c r="O21" s="52">
        <v>0</v>
      </c>
      <c r="P21" s="51">
        <v>0</v>
      </c>
      <c r="Q21" s="51">
        <v>3</v>
      </c>
      <c r="R21" s="51">
        <v>1</v>
      </c>
      <c r="S21" s="57" t="s">
        <v>121</v>
      </c>
      <c r="T21" s="51" t="s">
        <v>39</v>
      </c>
      <c r="U21" s="51">
        <v>2</v>
      </c>
      <c r="V21" s="51">
        <v>6</v>
      </c>
      <c r="W21" s="51">
        <v>2</v>
      </c>
      <c r="X21" s="51" t="s">
        <v>40</v>
      </c>
      <c r="Y21" s="57" t="s">
        <v>82</v>
      </c>
      <c r="Z21" s="58">
        <v>9.4</v>
      </c>
      <c r="AA21" s="57" t="s">
        <v>122</v>
      </c>
      <c r="AB21" s="59">
        <f t="shared" si="0"/>
        <v>45953</v>
      </c>
    </row>
    <row r="22" spans="1:28" ht="12.75">
      <c r="A22" s="56">
        <v>45953.564274976852</v>
      </c>
      <c r="B22" s="51" t="s">
        <v>123</v>
      </c>
      <c r="C22" s="51" t="s">
        <v>29</v>
      </c>
      <c r="D22" s="51" t="s">
        <v>30</v>
      </c>
      <c r="E22" s="51" t="s">
        <v>31</v>
      </c>
      <c r="F22" s="51" t="s">
        <v>53</v>
      </c>
      <c r="G22" s="51" t="s">
        <v>33</v>
      </c>
      <c r="H22" s="51">
        <v>19</v>
      </c>
      <c r="I22" s="51" t="s">
        <v>34</v>
      </c>
      <c r="J22" s="51" t="s">
        <v>46</v>
      </c>
      <c r="K22" s="51" t="s">
        <v>36</v>
      </c>
      <c r="L22" s="51" t="s">
        <v>68</v>
      </c>
      <c r="M22" s="51">
        <v>1</v>
      </c>
      <c r="N22" s="51">
        <v>1</v>
      </c>
      <c r="O22" s="52">
        <v>0</v>
      </c>
      <c r="P22" s="51">
        <v>0</v>
      </c>
      <c r="Q22" s="51">
        <v>3</v>
      </c>
      <c r="R22" s="51">
        <v>2</v>
      </c>
      <c r="S22" s="57" t="s">
        <v>75</v>
      </c>
      <c r="T22" s="51" t="s">
        <v>49</v>
      </c>
      <c r="U22" s="51">
        <v>1</v>
      </c>
      <c r="V22" s="51">
        <v>6</v>
      </c>
      <c r="W22" s="51">
        <v>1</v>
      </c>
      <c r="X22" s="51" t="s">
        <v>40</v>
      </c>
      <c r="Y22" s="57" t="s">
        <v>106</v>
      </c>
      <c r="Z22" s="58">
        <v>15.6</v>
      </c>
      <c r="AA22" s="57" t="s">
        <v>122</v>
      </c>
      <c r="AB22" s="59">
        <f t="shared" si="0"/>
        <v>45953</v>
      </c>
    </row>
    <row r="23" spans="1:28" ht="12.75">
      <c r="A23" s="56">
        <v>45953.568006099536</v>
      </c>
      <c r="B23" s="51" t="s">
        <v>124</v>
      </c>
      <c r="C23" s="51" t="s">
        <v>29</v>
      </c>
      <c r="D23" s="51" t="s">
        <v>30</v>
      </c>
      <c r="E23" s="51" t="s">
        <v>31</v>
      </c>
      <c r="F23" s="51" t="s">
        <v>53</v>
      </c>
      <c r="G23" s="51" t="s">
        <v>54</v>
      </c>
      <c r="H23" s="51">
        <v>19</v>
      </c>
      <c r="I23" s="51" t="s">
        <v>34</v>
      </c>
      <c r="J23" s="51" t="s">
        <v>64</v>
      </c>
      <c r="K23" s="51" t="s">
        <v>90</v>
      </c>
      <c r="L23" s="51" t="s">
        <v>47</v>
      </c>
      <c r="M23" s="51">
        <v>1</v>
      </c>
      <c r="N23" s="51">
        <v>1</v>
      </c>
      <c r="O23" s="52">
        <v>0</v>
      </c>
      <c r="P23" s="51">
        <v>0</v>
      </c>
      <c r="Q23" s="51">
        <v>5</v>
      </c>
      <c r="R23" s="51">
        <v>4</v>
      </c>
      <c r="S23" s="57" t="s">
        <v>125</v>
      </c>
      <c r="T23" s="51" t="s">
        <v>49</v>
      </c>
      <c r="U23" s="51">
        <v>2</v>
      </c>
      <c r="V23" s="51">
        <v>6</v>
      </c>
      <c r="W23" s="51">
        <v>1</v>
      </c>
      <c r="X23" s="51" t="s">
        <v>40</v>
      </c>
      <c r="Y23" s="57" t="s">
        <v>65</v>
      </c>
      <c r="Z23" s="58">
        <v>110.5</v>
      </c>
      <c r="AA23" s="57" t="s">
        <v>77</v>
      </c>
      <c r="AB23" s="59">
        <f t="shared" si="0"/>
        <v>45953</v>
      </c>
    </row>
    <row r="24" spans="1:28" ht="12.75">
      <c r="A24" s="56">
        <v>45953.576953750002</v>
      </c>
      <c r="B24" s="51" t="s">
        <v>126</v>
      </c>
      <c r="C24" s="51" t="s">
        <v>29</v>
      </c>
      <c r="D24" s="51" t="s">
        <v>30</v>
      </c>
      <c r="E24" s="51" t="s">
        <v>31</v>
      </c>
      <c r="F24" s="51" t="s">
        <v>53</v>
      </c>
      <c r="G24" s="51" t="s">
        <v>33</v>
      </c>
      <c r="H24" s="51">
        <v>19</v>
      </c>
      <c r="I24" s="51" t="s">
        <v>34</v>
      </c>
      <c r="J24" s="51" t="s">
        <v>64</v>
      </c>
      <c r="K24" s="51" t="s">
        <v>36</v>
      </c>
      <c r="L24" s="51" t="s">
        <v>113</v>
      </c>
      <c r="M24" s="51">
        <v>2</v>
      </c>
      <c r="N24" s="51">
        <v>1</v>
      </c>
      <c r="O24" s="52">
        <v>6.75</v>
      </c>
      <c r="P24" s="51">
        <v>0</v>
      </c>
      <c r="Q24" s="51">
        <v>4</v>
      </c>
      <c r="R24" s="51">
        <v>3</v>
      </c>
      <c r="S24" s="57" t="s">
        <v>127</v>
      </c>
      <c r="T24" s="51" t="s">
        <v>39</v>
      </c>
      <c r="U24" s="51">
        <v>2</v>
      </c>
      <c r="V24" s="51">
        <v>9</v>
      </c>
      <c r="W24" s="51">
        <v>3</v>
      </c>
      <c r="X24" s="51" t="s">
        <v>40</v>
      </c>
      <c r="Y24" s="57" t="s">
        <v>118</v>
      </c>
      <c r="Z24" s="58">
        <v>50.99</v>
      </c>
      <c r="AA24" s="57" t="s">
        <v>128</v>
      </c>
      <c r="AB24" s="59">
        <f t="shared" si="0"/>
        <v>45953</v>
      </c>
    </row>
    <row r="25" spans="1:28" ht="12.75">
      <c r="A25" s="56">
        <v>45953.586570810185</v>
      </c>
      <c r="B25" s="51" t="s">
        <v>129</v>
      </c>
      <c r="C25" s="51" t="s">
        <v>29</v>
      </c>
      <c r="D25" s="51" t="s">
        <v>30</v>
      </c>
      <c r="E25" s="51" t="s">
        <v>31</v>
      </c>
      <c r="F25" s="51" t="s">
        <v>53</v>
      </c>
      <c r="G25" s="51" t="s">
        <v>54</v>
      </c>
      <c r="H25" s="51">
        <v>19</v>
      </c>
      <c r="I25" s="51" t="s">
        <v>34</v>
      </c>
      <c r="J25" s="51" t="s">
        <v>46</v>
      </c>
      <c r="K25" s="51" t="s">
        <v>36</v>
      </c>
      <c r="L25" s="51" t="s">
        <v>68</v>
      </c>
      <c r="M25" s="51">
        <v>1</v>
      </c>
      <c r="N25" s="51">
        <v>1</v>
      </c>
      <c r="O25" s="52">
        <v>1</v>
      </c>
      <c r="P25" s="51">
        <v>0</v>
      </c>
      <c r="Q25" s="51">
        <v>3</v>
      </c>
      <c r="R25" s="51">
        <v>1</v>
      </c>
      <c r="S25" s="57" t="s">
        <v>130</v>
      </c>
      <c r="T25" s="51" t="s">
        <v>49</v>
      </c>
      <c r="U25" s="51">
        <v>0</v>
      </c>
      <c r="V25" s="51">
        <v>7</v>
      </c>
      <c r="W25" s="51">
        <v>2</v>
      </c>
      <c r="X25" s="51" t="s">
        <v>40</v>
      </c>
      <c r="Y25" s="57" t="s">
        <v>118</v>
      </c>
      <c r="Z25" s="58">
        <v>17.989999999999998</v>
      </c>
      <c r="AA25" s="57" t="s">
        <v>71</v>
      </c>
      <c r="AB25" s="59">
        <f t="shared" si="0"/>
        <v>45953</v>
      </c>
    </row>
    <row r="26" spans="1:28" ht="12.75">
      <c r="A26" s="56">
        <v>45953.595468831016</v>
      </c>
      <c r="B26" s="51" t="s">
        <v>131</v>
      </c>
      <c r="C26" s="51" t="s">
        <v>29</v>
      </c>
      <c r="D26" s="51" t="s">
        <v>30</v>
      </c>
      <c r="E26" s="51" t="s">
        <v>31</v>
      </c>
      <c r="F26" s="51" t="s">
        <v>53</v>
      </c>
      <c r="G26" s="51" t="s">
        <v>33</v>
      </c>
      <c r="H26" s="51">
        <v>19</v>
      </c>
      <c r="I26" s="51" t="s">
        <v>34</v>
      </c>
      <c r="J26" s="51" t="s">
        <v>64</v>
      </c>
      <c r="K26" s="51" t="s">
        <v>36</v>
      </c>
      <c r="L26" s="51" t="s">
        <v>113</v>
      </c>
      <c r="M26" s="51">
        <v>2</v>
      </c>
      <c r="N26" s="51">
        <v>2</v>
      </c>
      <c r="O26" s="52">
        <v>10.5</v>
      </c>
      <c r="P26" s="51">
        <v>0</v>
      </c>
      <c r="Q26" s="51">
        <v>3</v>
      </c>
      <c r="R26" s="51">
        <v>3</v>
      </c>
      <c r="S26" s="57" t="s">
        <v>132</v>
      </c>
      <c r="T26" s="51" t="s">
        <v>39</v>
      </c>
      <c r="U26" s="51">
        <v>2</v>
      </c>
      <c r="V26" s="51">
        <v>7</v>
      </c>
      <c r="W26" s="51">
        <v>3</v>
      </c>
      <c r="X26" s="51" t="s">
        <v>50</v>
      </c>
      <c r="Y26" s="57" t="s">
        <v>133</v>
      </c>
      <c r="Z26" s="58">
        <v>15.99</v>
      </c>
      <c r="AA26" s="57" t="s">
        <v>114</v>
      </c>
      <c r="AB26" s="59">
        <f t="shared" si="0"/>
        <v>45953</v>
      </c>
    </row>
    <row r="27" spans="1:28" ht="12.75">
      <c r="A27" s="56">
        <v>45953.600237245366</v>
      </c>
      <c r="B27" s="51" t="s">
        <v>134</v>
      </c>
      <c r="C27" s="51" t="s">
        <v>29</v>
      </c>
      <c r="D27" s="51" t="s">
        <v>30</v>
      </c>
      <c r="E27" s="51" t="s">
        <v>31</v>
      </c>
      <c r="F27" s="51" t="s">
        <v>53</v>
      </c>
      <c r="G27" s="51" t="s">
        <v>33</v>
      </c>
      <c r="H27" s="51">
        <v>19</v>
      </c>
      <c r="I27" s="51" t="s">
        <v>34</v>
      </c>
      <c r="J27" s="51" t="s">
        <v>108</v>
      </c>
      <c r="K27" s="51" t="s">
        <v>36</v>
      </c>
      <c r="L27" s="51" t="s">
        <v>74</v>
      </c>
      <c r="M27" s="51">
        <v>2</v>
      </c>
      <c r="N27" s="51">
        <v>2</v>
      </c>
      <c r="O27" s="52">
        <v>15.5</v>
      </c>
      <c r="P27" s="51">
        <v>2</v>
      </c>
      <c r="Q27" s="51">
        <v>4</v>
      </c>
      <c r="R27" s="51">
        <v>4</v>
      </c>
      <c r="S27" s="57" t="s">
        <v>135</v>
      </c>
      <c r="T27" s="51" t="s">
        <v>39</v>
      </c>
      <c r="U27" s="51">
        <v>3</v>
      </c>
      <c r="V27" s="51">
        <v>8</v>
      </c>
      <c r="W27" s="51">
        <v>3</v>
      </c>
      <c r="X27" s="51" t="s">
        <v>69</v>
      </c>
      <c r="Y27" s="57" t="s">
        <v>133</v>
      </c>
      <c r="Z27" s="58">
        <v>9.8000000000000007</v>
      </c>
      <c r="AA27" s="57" t="s">
        <v>71</v>
      </c>
      <c r="AB27" s="59">
        <f t="shared" si="0"/>
        <v>45953</v>
      </c>
    </row>
    <row r="28" spans="1:28" ht="12.75">
      <c r="A28" s="56">
        <v>45953.663397430559</v>
      </c>
      <c r="B28" s="51" t="s">
        <v>136</v>
      </c>
      <c r="C28" s="51" t="s">
        <v>29</v>
      </c>
      <c r="D28" s="51" t="s">
        <v>30</v>
      </c>
      <c r="E28" s="51" t="s">
        <v>31</v>
      </c>
      <c r="F28" s="51" t="s">
        <v>32</v>
      </c>
      <c r="G28" s="51" t="s">
        <v>54</v>
      </c>
      <c r="H28" s="51">
        <v>19</v>
      </c>
      <c r="I28" s="51" t="s">
        <v>34</v>
      </c>
      <c r="J28" s="51" t="s">
        <v>64</v>
      </c>
      <c r="K28" s="51" t="s">
        <v>36</v>
      </c>
      <c r="L28" s="51" t="s">
        <v>74</v>
      </c>
      <c r="M28" s="51">
        <v>1</v>
      </c>
      <c r="N28" s="51">
        <v>2</v>
      </c>
      <c r="O28" s="52">
        <v>3</v>
      </c>
      <c r="P28" s="51">
        <v>0</v>
      </c>
      <c r="Q28" s="51">
        <v>4</v>
      </c>
      <c r="R28" s="51">
        <v>2</v>
      </c>
      <c r="S28" s="57" t="s">
        <v>55</v>
      </c>
      <c r="T28" s="51" t="s">
        <v>49</v>
      </c>
      <c r="U28" s="51">
        <v>5</v>
      </c>
      <c r="V28" s="51">
        <v>8</v>
      </c>
      <c r="W28" s="51">
        <v>3</v>
      </c>
      <c r="X28" s="51" t="s">
        <v>50</v>
      </c>
      <c r="Y28" s="57" t="s">
        <v>65</v>
      </c>
      <c r="Z28" s="58">
        <v>15</v>
      </c>
      <c r="AA28" s="57" t="s">
        <v>137</v>
      </c>
      <c r="AB28" s="59">
        <f t="shared" si="0"/>
        <v>45953</v>
      </c>
    </row>
    <row r="29" spans="1:28" ht="12.75">
      <c r="A29" s="56">
        <v>45953.735612152777</v>
      </c>
      <c r="B29" s="51" t="s">
        <v>138</v>
      </c>
      <c r="C29" s="51" t="s">
        <v>29</v>
      </c>
      <c r="D29" s="51" t="s">
        <v>30</v>
      </c>
      <c r="E29" s="51" t="s">
        <v>31</v>
      </c>
      <c r="F29" s="51" t="s">
        <v>53</v>
      </c>
      <c r="G29" s="51" t="s">
        <v>54</v>
      </c>
      <c r="H29" s="51">
        <v>19</v>
      </c>
      <c r="I29" s="51" t="s">
        <v>34</v>
      </c>
      <c r="J29" s="51" t="s">
        <v>79</v>
      </c>
      <c r="K29" s="51" t="s">
        <v>36</v>
      </c>
      <c r="L29" s="51" t="s">
        <v>74</v>
      </c>
      <c r="M29" s="51">
        <v>1</v>
      </c>
      <c r="N29" s="51">
        <v>1</v>
      </c>
      <c r="O29" s="52">
        <v>0</v>
      </c>
      <c r="P29" s="51">
        <v>0</v>
      </c>
      <c r="Q29" s="51">
        <v>3</v>
      </c>
      <c r="R29" s="51">
        <v>2</v>
      </c>
      <c r="S29" s="57" t="s">
        <v>121</v>
      </c>
      <c r="T29" s="51" t="s">
        <v>39</v>
      </c>
      <c r="U29" s="51">
        <v>0</v>
      </c>
      <c r="V29" s="51">
        <v>8</v>
      </c>
      <c r="W29" s="51">
        <v>2</v>
      </c>
      <c r="X29" s="51" t="s">
        <v>40</v>
      </c>
      <c r="Y29" s="57" t="s">
        <v>118</v>
      </c>
      <c r="Z29" s="58">
        <v>13.4</v>
      </c>
      <c r="AA29" s="57" t="s">
        <v>139</v>
      </c>
      <c r="AB29" s="59">
        <f t="shared" si="0"/>
        <v>45953</v>
      </c>
    </row>
    <row r="30" spans="1:28" ht="12.75">
      <c r="A30" s="56">
        <v>45953.745783645834</v>
      </c>
      <c r="B30" s="51" t="s">
        <v>140</v>
      </c>
      <c r="C30" s="51" t="s">
        <v>29</v>
      </c>
      <c r="D30" s="51" t="s">
        <v>30</v>
      </c>
      <c r="E30" s="51" t="s">
        <v>31</v>
      </c>
      <c r="F30" s="51" t="s">
        <v>53</v>
      </c>
      <c r="G30" s="51" t="s">
        <v>33</v>
      </c>
      <c r="H30" s="51">
        <v>19</v>
      </c>
      <c r="I30" s="51" t="s">
        <v>34</v>
      </c>
      <c r="J30" s="51" t="s">
        <v>108</v>
      </c>
      <c r="K30" s="51" t="s">
        <v>36</v>
      </c>
      <c r="L30" s="51" t="s">
        <v>68</v>
      </c>
      <c r="M30" s="51">
        <v>1</v>
      </c>
      <c r="N30" s="51">
        <v>1</v>
      </c>
      <c r="O30" s="52">
        <v>1</v>
      </c>
      <c r="P30" s="51">
        <v>0</v>
      </c>
      <c r="Q30" s="51">
        <v>3</v>
      </c>
      <c r="R30" s="51">
        <v>2</v>
      </c>
      <c r="S30" s="57" t="s">
        <v>141</v>
      </c>
      <c r="T30" s="51" t="s">
        <v>49</v>
      </c>
      <c r="U30" s="51">
        <v>1</v>
      </c>
      <c r="V30" s="51">
        <v>8</v>
      </c>
      <c r="W30" s="51">
        <v>3</v>
      </c>
      <c r="X30" s="51" t="s">
        <v>50</v>
      </c>
      <c r="Y30" s="57" t="s">
        <v>82</v>
      </c>
      <c r="Z30" s="58">
        <v>35.700000000000003</v>
      </c>
      <c r="AA30" s="57" t="s">
        <v>142</v>
      </c>
      <c r="AB30" s="59">
        <f t="shared" si="0"/>
        <v>45953</v>
      </c>
    </row>
    <row r="31" spans="1:28" ht="12.75">
      <c r="A31" s="56">
        <v>45953.776731481485</v>
      </c>
      <c r="B31" s="51" t="s">
        <v>143</v>
      </c>
      <c r="C31" s="51" t="s">
        <v>29</v>
      </c>
      <c r="D31" s="51" t="s">
        <v>30</v>
      </c>
      <c r="E31" s="51" t="s">
        <v>31</v>
      </c>
      <c r="F31" s="51" t="s">
        <v>53</v>
      </c>
      <c r="G31" s="51" t="s">
        <v>33</v>
      </c>
      <c r="H31" s="51">
        <v>19</v>
      </c>
      <c r="I31" s="51" t="s">
        <v>34</v>
      </c>
      <c r="J31" s="51" t="s">
        <v>79</v>
      </c>
      <c r="K31" s="51" t="s">
        <v>36</v>
      </c>
      <c r="L31" s="51" t="s">
        <v>113</v>
      </c>
      <c r="M31" s="51">
        <v>1</v>
      </c>
      <c r="N31" s="51">
        <v>1</v>
      </c>
      <c r="O31" s="52">
        <v>2.75</v>
      </c>
      <c r="P31" s="51">
        <v>0</v>
      </c>
      <c r="Q31" s="51">
        <v>3</v>
      </c>
      <c r="R31" s="51">
        <v>1</v>
      </c>
      <c r="S31" s="57" t="s">
        <v>55</v>
      </c>
      <c r="T31" s="51" t="s">
        <v>94</v>
      </c>
      <c r="U31" s="51">
        <v>0</v>
      </c>
      <c r="V31" s="51">
        <v>7</v>
      </c>
      <c r="W31" s="51">
        <v>2</v>
      </c>
      <c r="X31" s="51" t="s">
        <v>50</v>
      </c>
      <c r="Y31" s="57" t="s">
        <v>144</v>
      </c>
      <c r="Z31" s="58">
        <v>19.989999999999998</v>
      </c>
      <c r="AA31" s="57" t="s">
        <v>114</v>
      </c>
      <c r="AB31" s="59">
        <f t="shared" si="0"/>
        <v>45953</v>
      </c>
    </row>
    <row r="32" spans="1:28" ht="12.75">
      <c r="A32" s="56">
        <v>45953.802763530097</v>
      </c>
      <c r="B32" s="51" t="s">
        <v>145</v>
      </c>
      <c r="C32" s="51" t="s">
        <v>29</v>
      </c>
      <c r="D32" s="51" t="s">
        <v>30</v>
      </c>
      <c r="E32" s="51" t="s">
        <v>31</v>
      </c>
      <c r="F32" s="51" t="s">
        <v>53</v>
      </c>
      <c r="G32" s="51" t="s">
        <v>33</v>
      </c>
      <c r="H32" s="51">
        <v>19</v>
      </c>
      <c r="I32" s="51" t="s">
        <v>34</v>
      </c>
      <c r="J32" s="51" t="s">
        <v>35</v>
      </c>
      <c r="K32" s="51" t="s">
        <v>36</v>
      </c>
      <c r="L32" s="51" t="s">
        <v>74</v>
      </c>
      <c r="M32" s="51">
        <v>3</v>
      </c>
      <c r="N32" s="51">
        <v>3</v>
      </c>
      <c r="O32" s="52">
        <v>8.75</v>
      </c>
      <c r="P32" s="51">
        <v>1</v>
      </c>
      <c r="Q32" s="51">
        <v>5</v>
      </c>
      <c r="R32" s="51">
        <v>2</v>
      </c>
      <c r="S32" s="57" t="s">
        <v>146</v>
      </c>
      <c r="T32" s="51" t="s">
        <v>39</v>
      </c>
      <c r="U32" s="51">
        <v>1</v>
      </c>
      <c r="V32" s="51">
        <v>9</v>
      </c>
      <c r="W32" s="51">
        <v>2</v>
      </c>
      <c r="X32" s="51" t="s">
        <v>50</v>
      </c>
      <c r="Y32" s="57" t="s">
        <v>118</v>
      </c>
      <c r="Z32" s="58">
        <v>15.45</v>
      </c>
      <c r="AA32" s="57" t="s">
        <v>147</v>
      </c>
      <c r="AB32" s="59">
        <f t="shared" si="0"/>
        <v>45953</v>
      </c>
    </row>
    <row r="33" spans="1:28" ht="12.75">
      <c r="A33" s="56">
        <v>45953.813105138892</v>
      </c>
      <c r="B33" s="51" t="s">
        <v>148</v>
      </c>
      <c r="C33" s="51" t="s">
        <v>29</v>
      </c>
      <c r="D33" s="51" t="s">
        <v>30</v>
      </c>
      <c r="E33" s="51" t="s">
        <v>31</v>
      </c>
      <c r="F33" s="51" t="s">
        <v>32</v>
      </c>
      <c r="G33" s="51" t="s">
        <v>149</v>
      </c>
      <c r="H33" s="51">
        <v>19</v>
      </c>
      <c r="I33" s="51" t="s">
        <v>34</v>
      </c>
      <c r="J33" s="51" t="s">
        <v>64</v>
      </c>
      <c r="K33" s="51" t="s">
        <v>36</v>
      </c>
      <c r="L33" s="51" t="s">
        <v>37</v>
      </c>
      <c r="M33" s="51">
        <v>2</v>
      </c>
      <c r="N33" s="51">
        <v>3</v>
      </c>
      <c r="O33" s="52">
        <v>24</v>
      </c>
      <c r="P33" s="51">
        <v>3</v>
      </c>
      <c r="Q33" s="51">
        <v>4</v>
      </c>
      <c r="R33" s="51">
        <v>4</v>
      </c>
      <c r="S33" s="57" t="s">
        <v>141</v>
      </c>
      <c r="T33" s="51" t="s">
        <v>39</v>
      </c>
      <c r="U33" s="51">
        <v>2</v>
      </c>
      <c r="V33" s="51">
        <v>8</v>
      </c>
      <c r="W33" s="51">
        <v>1</v>
      </c>
      <c r="X33" s="51" t="s">
        <v>40</v>
      </c>
      <c r="Y33" s="57" t="s">
        <v>56</v>
      </c>
      <c r="Z33" s="58">
        <v>69.989999999999995</v>
      </c>
      <c r="AA33" s="57" t="s">
        <v>116</v>
      </c>
      <c r="AB33" s="59">
        <f t="shared" si="0"/>
        <v>45953</v>
      </c>
    </row>
    <row r="34" spans="1:28" ht="12.75">
      <c r="A34" s="56">
        <v>45953.816301400468</v>
      </c>
      <c r="B34" s="51" t="s">
        <v>150</v>
      </c>
      <c r="C34" s="51" t="s">
        <v>29</v>
      </c>
      <c r="D34" s="51" t="s">
        <v>30</v>
      </c>
      <c r="E34" s="51" t="s">
        <v>31</v>
      </c>
      <c r="F34" s="51" t="s">
        <v>53</v>
      </c>
      <c r="G34" s="51" t="s">
        <v>33</v>
      </c>
      <c r="H34" s="51">
        <v>19</v>
      </c>
      <c r="I34" s="51" t="s">
        <v>34</v>
      </c>
      <c r="J34" s="51" t="s">
        <v>108</v>
      </c>
      <c r="K34" s="51" t="s">
        <v>36</v>
      </c>
      <c r="L34" s="51" t="s">
        <v>113</v>
      </c>
      <c r="M34" s="51">
        <v>1</v>
      </c>
      <c r="N34" s="51">
        <v>1</v>
      </c>
      <c r="O34" s="52">
        <v>1.5</v>
      </c>
      <c r="P34" s="51">
        <v>1</v>
      </c>
      <c r="Q34" s="51">
        <v>3</v>
      </c>
      <c r="R34" s="51">
        <v>1</v>
      </c>
      <c r="S34" s="57" t="s">
        <v>75</v>
      </c>
      <c r="T34" s="51" t="s">
        <v>39</v>
      </c>
      <c r="U34" s="51">
        <v>1</v>
      </c>
      <c r="V34" s="51">
        <v>9</v>
      </c>
      <c r="W34" s="51">
        <v>3</v>
      </c>
      <c r="X34" s="51" t="s">
        <v>50</v>
      </c>
      <c r="Y34" s="57" t="s">
        <v>118</v>
      </c>
      <c r="Z34" s="58">
        <v>2.75</v>
      </c>
      <c r="AA34" s="57" t="s">
        <v>139</v>
      </c>
      <c r="AB34" s="59">
        <f t="shared" si="0"/>
        <v>45953</v>
      </c>
    </row>
    <row r="35" spans="1:28" ht="12.75">
      <c r="A35" s="56">
        <v>45953.828998854166</v>
      </c>
      <c r="B35" s="51" t="s">
        <v>151</v>
      </c>
      <c r="C35" s="51" t="s">
        <v>29</v>
      </c>
      <c r="D35" s="51" t="s">
        <v>30</v>
      </c>
      <c r="E35" s="51" t="s">
        <v>31</v>
      </c>
      <c r="F35" s="51" t="s">
        <v>53</v>
      </c>
      <c r="G35" s="51" t="s">
        <v>33</v>
      </c>
      <c r="H35" s="51">
        <v>19</v>
      </c>
      <c r="I35" s="51" t="s">
        <v>34</v>
      </c>
      <c r="J35" s="51" t="s">
        <v>79</v>
      </c>
      <c r="K35" s="51" t="s">
        <v>36</v>
      </c>
      <c r="L35" s="51" t="s">
        <v>74</v>
      </c>
      <c r="M35" s="51">
        <v>1</v>
      </c>
      <c r="N35" s="51">
        <v>1</v>
      </c>
      <c r="O35" s="52">
        <v>1</v>
      </c>
      <c r="P35" s="51">
        <v>0</v>
      </c>
      <c r="Q35" s="51">
        <v>4</v>
      </c>
      <c r="R35" s="51">
        <v>3</v>
      </c>
      <c r="S35" s="57" t="s">
        <v>55</v>
      </c>
      <c r="T35" s="51" t="s">
        <v>94</v>
      </c>
      <c r="U35" s="51">
        <v>1</v>
      </c>
      <c r="V35" s="51">
        <v>7</v>
      </c>
      <c r="W35" s="51">
        <v>1</v>
      </c>
      <c r="X35" s="51" t="s">
        <v>50</v>
      </c>
      <c r="Y35" s="57" t="s">
        <v>144</v>
      </c>
      <c r="Z35" s="58">
        <v>125.8</v>
      </c>
      <c r="AA35" s="57" t="s">
        <v>128</v>
      </c>
      <c r="AB35" s="59">
        <f t="shared" si="0"/>
        <v>45953</v>
      </c>
    </row>
    <row r="36" spans="1:28" ht="12.75">
      <c r="A36" s="56">
        <v>45954.411231238424</v>
      </c>
      <c r="B36" s="51" t="s">
        <v>152</v>
      </c>
      <c r="C36" s="51" t="s">
        <v>29</v>
      </c>
      <c r="D36" s="51" t="s">
        <v>30</v>
      </c>
      <c r="E36" s="51" t="s">
        <v>31</v>
      </c>
      <c r="F36" s="51" t="s">
        <v>44</v>
      </c>
      <c r="G36" s="51" t="s">
        <v>54</v>
      </c>
      <c r="H36" s="51">
        <v>19</v>
      </c>
      <c r="I36" s="51" t="s">
        <v>45</v>
      </c>
      <c r="J36" s="51" t="s">
        <v>64</v>
      </c>
      <c r="K36" s="51" t="s">
        <v>90</v>
      </c>
      <c r="L36" s="51" t="s">
        <v>47</v>
      </c>
      <c r="M36" s="51">
        <v>1</v>
      </c>
      <c r="N36" s="51">
        <v>1</v>
      </c>
      <c r="O36" s="52">
        <v>0</v>
      </c>
      <c r="P36" s="51">
        <v>0</v>
      </c>
      <c r="Q36" s="51">
        <v>3</v>
      </c>
      <c r="R36" s="51">
        <v>2</v>
      </c>
      <c r="S36" s="57" t="s">
        <v>91</v>
      </c>
      <c r="T36" s="51" t="s">
        <v>81</v>
      </c>
      <c r="U36" s="51">
        <v>1</v>
      </c>
      <c r="V36" s="51">
        <v>8</v>
      </c>
      <c r="W36" s="51">
        <v>2</v>
      </c>
      <c r="X36" s="51" t="s">
        <v>40</v>
      </c>
      <c r="Y36" s="57" t="s">
        <v>82</v>
      </c>
      <c r="Z36" s="58">
        <v>0</v>
      </c>
      <c r="AA36" s="57" t="s">
        <v>83</v>
      </c>
      <c r="AB36" s="59">
        <f t="shared" si="0"/>
        <v>45954</v>
      </c>
    </row>
    <row r="37" spans="1:28" ht="12.75">
      <c r="A37" s="56">
        <v>45954.422679456024</v>
      </c>
      <c r="B37" s="51" t="s">
        <v>153</v>
      </c>
      <c r="C37" s="51" t="s">
        <v>29</v>
      </c>
      <c r="D37" s="51" t="s">
        <v>30</v>
      </c>
      <c r="E37" s="51" t="s">
        <v>31</v>
      </c>
      <c r="F37" s="51" t="s">
        <v>44</v>
      </c>
      <c r="G37" s="51" t="s">
        <v>33</v>
      </c>
      <c r="H37" s="51">
        <v>19</v>
      </c>
      <c r="I37" s="51" t="s">
        <v>34</v>
      </c>
      <c r="J37" s="51" t="s">
        <v>89</v>
      </c>
      <c r="K37" s="51" t="s">
        <v>90</v>
      </c>
      <c r="L37" s="51" t="s">
        <v>47</v>
      </c>
      <c r="M37" s="51">
        <v>1</v>
      </c>
      <c r="N37" s="51">
        <v>1</v>
      </c>
      <c r="O37" s="52">
        <v>0</v>
      </c>
      <c r="P37" s="51">
        <v>0</v>
      </c>
      <c r="Q37" s="51">
        <v>3</v>
      </c>
      <c r="R37" s="51">
        <v>2</v>
      </c>
      <c r="S37" s="57" t="s">
        <v>91</v>
      </c>
      <c r="T37" s="51" t="s">
        <v>81</v>
      </c>
      <c r="U37" s="51">
        <v>0</v>
      </c>
      <c r="V37" s="51">
        <v>10</v>
      </c>
      <c r="W37" s="51">
        <v>2</v>
      </c>
      <c r="X37" s="51" t="s">
        <v>40</v>
      </c>
      <c r="Y37" s="57" t="s">
        <v>41</v>
      </c>
      <c r="Z37" s="58">
        <v>0</v>
      </c>
      <c r="AA37" s="57" t="s">
        <v>154</v>
      </c>
      <c r="AB37" s="59">
        <f t="shared" si="0"/>
        <v>45954</v>
      </c>
    </row>
    <row r="38" spans="1:28" ht="12.75">
      <c r="A38" s="56">
        <v>45954.463369571764</v>
      </c>
      <c r="B38" s="51" t="s">
        <v>155</v>
      </c>
      <c r="C38" s="51" t="s">
        <v>29</v>
      </c>
      <c r="D38" s="51" t="s">
        <v>30</v>
      </c>
      <c r="E38" s="51" t="s">
        <v>31</v>
      </c>
      <c r="F38" s="51" t="s">
        <v>44</v>
      </c>
      <c r="G38" s="51" t="s">
        <v>33</v>
      </c>
      <c r="H38" s="51">
        <v>19</v>
      </c>
      <c r="I38" s="51" t="s">
        <v>34</v>
      </c>
      <c r="J38" s="51" t="s">
        <v>89</v>
      </c>
      <c r="K38" s="51" t="s">
        <v>90</v>
      </c>
      <c r="L38" s="51" t="s">
        <v>47</v>
      </c>
      <c r="M38" s="51">
        <v>1</v>
      </c>
      <c r="N38" s="51">
        <v>1</v>
      </c>
      <c r="O38" s="52">
        <v>0</v>
      </c>
      <c r="P38" s="51">
        <v>0</v>
      </c>
      <c r="Q38" s="51">
        <v>3</v>
      </c>
      <c r="R38" s="51">
        <v>3</v>
      </c>
      <c r="S38" s="57" t="s">
        <v>91</v>
      </c>
      <c r="T38" s="51" t="s">
        <v>81</v>
      </c>
      <c r="U38" s="51">
        <v>0</v>
      </c>
      <c r="V38" s="51">
        <v>6</v>
      </c>
      <c r="W38" s="51">
        <v>1</v>
      </c>
      <c r="X38" s="51" t="s">
        <v>40</v>
      </c>
      <c r="Y38" s="57" t="s">
        <v>82</v>
      </c>
      <c r="Z38" s="58">
        <v>0</v>
      </c>
      <c r="AA38" s="57" t="s">
        <v>154</v>
      </c>
      <c r="AB38" s="59">
        <f t="shared" si="0"/>
        <v>45954</v>
      </c>
    </row>
    <row r="39" spans="1:28" ht="12.75">
      <c r="A39" s="56">
        <v>45954.556425960647</v>
      </c>
      <c r="B39" s="51" t="s">
        <v>156</v>
      </c>
      <c r="C39" s="51" t="s">
        <v>29</v>
      </c>
      <c r="D39" s="51" t="s">
        <v>30</v>
      </c>
      <c r="E39" s="51" t="s">
        <v>31</v>
      </c>
      <c r="F39" s="51" t="s">
        <v>44</v>
      </c>
      <c r="G39" s="51" t="s">
        <v>54</v>
      </c>
      <c r="H39" s="51">
        <v>19</v>
      </c>
      <c r="I39" s="51" t="s">
        <v>34</v>
      </c>
      <c r="J39" s="51" t="s">
        <v>64</v>
      </c>
      <c r="K39" s="51" t="s">
        <v>36</v>
      </c>
      <c r="L39" s="51" t="s">
        <v>74</v>
      </c>
      <c r="M39" s="51">
        <v>2</v>
      </c>
      <c r="N39" s="51">
        <v>2</v>
      </c>
      <c r="O39" s="52">
        <v>1</v>
      </c>
      <c r="P39" s="51">
        <v>0</v>
      </c>
      <c r="Q39" s="51">
        <v>4</v>
      </c>
      <c r="R39" s="51">
        <v>3</v>
      </c>
      <c r="S39" s="57" t="s">
        <v>38</v>
      </c>
      <c r="T39" s="51" t="s">
        <v>49</v>
      </c>
      <c r="U39" s="51">
        <v>1</v>
      </c>
      <c r="V39" s="51">
        <v>8</v>
      </c>
      <c r="W39" s="51">
        <v>2</v>
      </c>
      <c r="X39" s="51" t="s">
        <v>50</v>
      </c>
      <c r="Y39" s="57" t="s">
        <v>41</v>
      </c>
      <c r="Z39" s="58">
        <v>5</v>
      </c>
      <c r="AA39" s="57" t="s">
        <v>157</v>
      </c>
      <c r="AB39" s="59">
        <f t="shared" si="0"/>
        <v>45954</v>
      </c>
    </row>
    <row r="40" spans="1:28" ht="12.75">
      <c r="A40" s="56">
        <v>45954.590725972223</v>
      </c>
      <c r="B40" s="51" t="s">
        <v>158</v>
      </c>
      <c r="C40" s="51" t="s">
        <v>29</v>
      </c>
      <c r="D40" s="51" t="s">
        <v>30</v>
      </c>
      <c r="E40" s="51" t="s">
        <v>31</v>
      </c>
      <c r="F40" s="51" t="s">
        <v>44</v>
      </c>
      <c r="G40" s="51" t="s">
        <v>33</v>
      </c>
      <c r="H40" s="51">
        <v>19</v>
      </c>
      <c r="I40" s="51" t="s">
        <v>34</v>
      </c>
      <c r="J40" s="51" t="s">
        <v>89</v>
      </c>
      <c r="K40" s="51" t="s">
        <v>90</v>
      </c>
      <c r="L40" s="51" t="s">
        <v>47</v>
      </c>
      <c r="M40" s="51">
        <v>1</v>
      </c>
      <c r="N40" s="51">
        <v>1</v>
      </c>
      <c r="O40" s="52">
        <v>0</v>
      </c>
      <c r="P40" s="51">
        <v>0</v>
      </c>
      <c r="Q40" s="51">
        <v>3</v>
      </c>
      <c r="R40" s="51">
        <v>2</v>
      </c>
      <c r="S40" s="57" t="s">
        <v>91</v>
      </c>
      <c r="T40" s="51" t="s">
        <v>81</v>
      </c>
      <c r="U40" s="51">
        <v>0</v>
      </c>
      <c r="V40" s="51">
        <v>6</v>
      </c>
      <c r="W40" s="51">
        <v>1</v>
      </c>
      <c r="X40" s="51" t="s">
        <v>40</v>
      </c>
      <c r="Y40" s="57" t="s">
        <v>41</v>
      </c>
      <c r="Z40" s="58">
        <v>0</v>
      </c>
      <c r="AA40" s="57" t="s">
        <v>83</v>
      </c>
      <c r="AB40" s="59">
        <f t="shared" si="0"/>
        <v>45954</v>
      </c>
    </row>
    <row r="41" spans="1:28" ht="12.75">
      <c r="A41" s="56">
        <v>45954.71845443287</v>
      </c>
      <c r="B41" s="51" t="s">
        <v>159</v>
      </c>
      <c r="C41" s="51" t="s">
        <v>29</v>
      </c>
      <c r="D41" s="51" t="s">
        <v>30</v>
      </c>
      <c r="E41" s="51" t="s">
        <v>31</v>
      </c>
      <c r="F41" s="51" t="s">
        <v>44</v>
      </c>
      <c r="G41" s="51" t="s">
        <v>33</v>
      </c>
      <c r="H41" s="51">
        <v>19</v>
      </c>
      <c r="I41" s="51" t="s">
        <v>34</v>
      </c>
      <c r="J41" s="51" t="s">
        <v>46</v>
      </c>
      <c r="K41" s="51" t="s">
        <v>36</v>
      </c>
      <c r="L41" s="51" t="s">
        <v>74</v>
      </c>
      <c r="M41" s="51">
        <v>2</v>
      </c>
      <c r="N41" s="51">
        <v>2</v>
      </c>
      <c r="O41" s="52">
        <v>1</v>
      </c>
      <c r="P41" s="51">
        <v>0</v>
      </c>
      <c r="Q41" s="51">
        <v>4</v>
      </c>
      <c r="R41" s="51">
        <v>3</v>
      </c>
      <c r="S41" s="57" t="s">
        <v>38</v>
      </c>
      <c r="T41" s="51" t="s">
        <v>49</v>
      </c>
      <c r="U41" s="51">
        <v>2</v>
      </c>
      <c r="V41" s="51">
        <v>8</v>
      </c>
      <c r="W41" s="51">
        <v>2</v>
      </c>
      <c r="X41" s="51" t="s">
        <v>50</v>
      </c>
      <c r="Y41" s="57" t="s">
        <v>82</v>
      </c>
      <c r="Z41" s="58">
        <v>5</v>
      </c>
      <c r="AA41" s="57" t="s">
        <v>83</v>
      </c>
      <c r="AB41" s="59">
        <f t="shared" si="0"/>
        <v>45954</v>
      </c>
    </row>
    <row r="42" spans="1:28" ht="12.75">
      <c r="A42" s="56">
        <v>45954.746677222225</v>
      </c>
      <c r="B42" s="51" t="s">
        <v>160</v>
      </c>
      <c r="C42" s="51" t="s">
        <v>29</v>
      </c>
      <c r="D42" s="51" t="s">
        <v>30</v>
      </c>
      <c r="E42" s="51" t="s">
        <v>31</v>
      </c>
      <c r="F42" s="51" t="s">
        <v>44</v>
      </c>
      <c r="G42" s="51" t="s">
        <v>33</v>
      </c>
      <c r="H42" s="51">
        <v>19</v>
      </c>
      <c r="I42" s="51" t="s">
        <v>34</v>
      </c>
      <c r="J42" s="51" t="s">
        <v>46</v>
      </c>
      <c r="K42" s="51" t="s">
        <v>90</v>
      </c>
      <c r="L42" s="51" t="s">
        <v>47</v>
      </c>
      <c r="M42" s="51">
        <v>1</v>
      </c>
      <c r="N42" s="51">
        <v>1</v>
      </c>
      <c r="O42" s="52">
        <v>0</v>
      </c>
      <c r="P42" s="51">
        <v>0</v>
      </c>
      <c r="Q42" s="51">
        <v>3</v>
      </c>
      <c r="R42" s="51">
        <v>2</v>
      </c>
      <c r="S42" s="57" t="s">
        <v>91</v>
      </c>
      <c r="T42" s="51" t="s">
        <v>81</v>
      </c>
      <c r="U42" s="51">
        <v>0</v>
      </c>
      <c r="V42" s="51">
        <v>6</v>
      </c>
      <c r="W42" s="51">
        <v>1</v>
      </c>
      <c r="X42" s="51" t="s">
        <v>40</v>
      </c>
      <c r="Y42" s="57" t="s">
        <v>41</v>
      </c>
      <c r="Z42" s="58">
        <v>0</v>
      </c>
      <c r="AA42" s="57" t="s">
        <v>114</v>
      </c>
      <c r="AB42" s="59">
        <f t="shared" si="0"/>
        <v>45954</v>
      </c>
    </row>
    <row r="43" spans="1:28" ht="12.75">
      <c r="A43" s="56">
        <v>45954.790201620373</v>
      </c>
      <c r="B43" s="51" t="s">
        <v>161</v>
      </c>
      <c r="C43" s="51" t="s">
        <v>29</v>
      </c>
      <c r="D43" s="51" t="s">
        <v>30</v>
      </c>
      <c r="E43" s="51" t="s">
        <v>31</v>
      </c>
      <c r="F43" s="51" t="s">
        <v>85</v>
      </c>
      <c r="G43" s="51" t="s">
        <v>33</v>
      </c>
      <c r="H43" s="51">
        <v>19</v>
      </c>
      <c r="I43" s="51" t="s">
        <v>34</v>
      </c>
      <c r="J43" s="51" t="s">
        <v>46</v>
      </c>
      <c r="K43" s="51" t="s">
        <v>90</v>
      </c>
      <c r="L43" s="51" t="s">
        <v>47</v>
      </c>
      <c r="M43" s="51">
        <v>1</v>
      </c>
      <c r="N43" s="51">
        <v>1</v>
      </c>
      <c r="O43" s="52">
        <v>0</v>
      </c>
      <c r="P43" s="51">
        <v>0</v>
      </c>
      <c r="Q43" s="51">
        <v>1</v>
      </c>
      <c r="R43" s="51">
        <v>1</v>
      </c>
      <c r="S43" s="57" t="s">
        <v>162</v>
      </c>
      <c r="T43" s="51" t="s">
        <v>81</v>
      </c>
      <c r="U43" s="51">
        <v>0</v>
      </c>
      <c r="V43" s="51">
        <v>4</v>
      </c>
      <c r="W43" s="51">
        <v>1</v>
      </c>
      <c r="X43" s="51" t="s">
        <v>40</v>
      </c>
      <c r="Y43" s="57" t="s">
        <v>163</v>
      </c>
      <c r="Z43" s="58">
        <v>0</v>
      </c>
      <c r="AA43" s="57" t="s">
        <v>164</v>
      </c>
      <c r="AB43" s="59">
        <f t="shared" si="0"/>
        <v>45954</v>
      </c>
    </row>
    <row r="44" spans="1:28" ht="12.75">
      <c r="A44" s="56">
        <v>45954.80074496528</v>
      </c>
      <c r="B44" s="51" t="s">
        <v>165</v>
      </c>
      <c r="C44" s="51" t="s">
        <v>29</v>
      </c>
      <c r="D44" s="51" t="s">
        <v>30</v>
      </c>
      <c r="E44" s="51" t="s">
        <v>31</v>
      </c>
      <c r="F44" s="51" t="s">
        <v>85</v>
      </c>
      <c r="G44" s="51" t="s">
        <v>54</v>
      </c>
      <c r="H44" s="51">
        <v>19</v>
      </c>
      <c r="I44" s="51" t="s">
        <v>34</v>
      </c>
      <c r="J44" s="51" t="s">
        <v>79</v>
      </c>
      <c r="K44" s="51" t="s">
        <v>90</v>
      </c>
      <c r="L44" s="51" t="s">
        <v>47</v>
      </c>
      <c r="M44" s="51">
        <v>1</v>
      </c>
      <c r="N44" s="51">
        <v>1</v>
      </c>
      <c r="O44" s="52">
        <v>0</v>
      </c>
      <c r="P44" s="51">
        <v>0</v>
      </c>
      <c r="Q44" s="51">
        <v>1</v>
      </c>
      <c r="R44" s="51">
        <v>1</v>
      </c>
      <c r="S44" s="57" t="s">
        <v>48</v>
      </c>
      <c r="T44" s="51" t="s">
        <v>81</v>
      </c>
      <c r="U44" s="51">
        <v>1</v>
      </c>
      <c r="V44" s="51">
        <v>8</v>
      </c>
      <c r="W44" s="51">
        <v>1</v>
      </c>
      <c r="X44" s="51" t="s">
        <v>69</v>
      </c>
      <c r="Y44" s="57" t="s">
        <v>166</v>
      </c>
      <c r="Z44" s="58">
        <v>0</v>
      </c>
      <c r="AA44" s="57" t="s">
        <v>167</v>
      </c>
      <c r="AB44" s="59">
        <f t="shared" si="0"/>
        <v>45954</v>
      </c>
    </row>
    <row r="45" spans="1:28" ht="12.75">
      <c r="A45" s="56">
        <v>45954.818229444441</v>
      </c>
      <c r="B45" s="51" t="s">
        <v>168</v>
      </c>
      <c r="C45" s="51" t="s">
        <v>29</v>
      </c>
      <c r="D45" s="51" t="s">
        <v>30</v>
      </c>
      <c r="E45" s="51" t="s">
        <v>31</v>
      </c>
      <c r="F45" s="51" t="s">
        <v>85</v>
      </c>
      <c r="G45" s="51" t="s">
        <v>54</v>
      </c>
      <c r="H45" s="51">
        <v>19</v>
      </c>
      <c r="I45" s="51" t="s">
        <v>34</v>
      </c>
      <c r="J45" s="51" t="s">
        <v>79</v>
      </c>
      <c r="K45" s="51" t="s">
        <v>36</v>
      </c>
      <c r="L45" s="51" t="s">
        <v>74</v>
      </c>
      <c r="M45" s="51">
        <v>2</v>
      </c>
      <c r="N45" s="51">
        <v>1</v>
      </c>
      <c r="O45" s="52">
        <v>1</v>
      </c>
      <c r="P45" s="51">
        <v>0</v>
      </c>
      <c r="Q45" s="51">
        <v>2</v>
      </c>
      <c r="R45" s="51">
        <v>2</v>
      </c>
      <c r="S45" s="57" t="s">
        <v>48</v>
      </c>
      <c r="T45" s="51" t="s">
        <v>81</v>
      </c>
      <c r="U45" s="51">
        <v>0</v>
      </c>
      <c r="V45" s="51">
        <v>9</v>
      </c>
      <c r="W45" s="51">
        <v>2</v>
      </c>
      <c r="X45" s="51" t="s">
        <v>40</v>
      </c>
      <c r="Y45" s="57" t="s">
        <v>82</v>
      </c>
      <c r="Z45" s="58">
        <v>0</v>
      </c>
      <c r="AA45" s="57" t="s">
        <v>122</v>
      </c>
      <c r="AB45" s="59">
        <f t="shared" si="0"/>
        <v>45954</v>
      </c>
    </row>
    <row r="46" spans="1:28" ht="12.75">
      <c r="A46" s="56">
        <v>45954.834063518516</v>
      </c>
      <c r="B46" s="51" t="s">
        <v>169</v>
      </c>
      <c r="C46" s="51" t="s">
        <v>29</v>
      </c>
      <c r="D46" s="51" t="s">
        <v>30</v>
      </c>
      <c r="E46" s="51" t="s">
        <v>31</v>
      </c>
      <c r="F46" s="51" t="s">
        <v>85</v>
      </c>
      <c r="G46" s="51" t="s">
        <v>54</v>
      </c>
      <c r="H46" s="51">
        <v>19</v>
      </c>
      <c r="I46" s="51" t="s">
        <v>34</v>
      </c>
      <c r="J46" s="51" t="s">
        <v>35</v>
      </c>
      <c r="K46" s="51" t="s">
        <v>90</v>
      </c>
      <c r="L46" s="51" t="s">
        <v>47</v>
      </c>
      <c r="M46" s="51">
        <v>1</v>
      </c>
      <c r="N46" s="51">
        <v>1</v>
      </c>
      <c r="O46" s="52">
        <v>0</v>
      </c>
      <c r="P46" s="51">
        <v>0</v>
      </c>
      <c r="Q46" s="51">
        <v>1</v>
      </c>
      <c r="R46" s="51">
        <v>1</v>
      </c>
      <c r="S46" s="57" t="s">
        <v>170</v>
      </c>
      <c r="T46" s="51" t="s">
        <v>81</v>
      </c>
      <c r="U46" s="51">
        <v>2</v>
      </c>
      <c r="V46" s="51">
        <v>8</v>
      </c>
      <c r="W46" s="51">
        <v>1</v>
      </c>
      <c r="X46" s="51" t="s">
        <v>40</v>
      </c>
      <c r="Y46" s="57" t="s">
        <v>171</v>
      </c>
      <c r="Z46" s="58">
        <v>0</v>
      </c>
      <c r="AA46" s="57" t="s">
        <v>172</v>
      </c>
      <c r="AB46" s="59">
        <f t="shared" si="0"/>
        <v>45954</v>
      </c>
    </row>
    <row r="47" spans="1:28" ht="12.75">
      <c r="A47" s="56">
        <v>45954.860017928237</v>
      </c>
      <c r="B47" s="51" t="s">
        <v>173</v>
      </c>
      <c r="C47" s="51" t="s">
        <v>29</v>
      </c>
      <c r="D47" s="51" t="s">
        <v>30</v>
      </c>
      <c r="E47" s="51" t="s">
        <v>31</v>
      </c>
      <c r="F47" s="51" t="s">
        <v>85</v>
      </c>
      <c r="G47" s="51" t="s">
        <v>54</v>
      </c>
      <c r="H47" s="51">
        <v>19</v>
      </c>
      <c r="I47" s="51" t="s">
        <v>34</v>
      </c>
      <c r="J47" s="51" t="s">
        <v>46</v>
      </c>
      <c r="K47" s="51" t="s">
        <v>36</v>
      </c>
      <c r="L47" s="51" t="s">
        <v>74</v>
      </c>
      <c r="M47" s="51">
        <v>2</v>
      </c>
      <c r="N47" s="51">
        <v>2</v>
      </c>
      <c r="O47" s="52">
        <v>1</v>
      </c>
      <c r="P47" s="51">
        <v>0</v>
      </c>
      <c r="Q47" s="51">
        <v>2</v>
      </c>
      <c r="R47" s="51">
        <v>2</v>
      </c>
      <c r="S47" s="57" t="s">
        <v>127</v>
      </c>
      <c r="T47" s="51" t="s">
        <v>49</v>
      </c>
      <c r="U47" s="51">
        <v>0</v>
      </c>
      <c r="V47" s="51">
        <v>9</v>
      </c>
      <c r="W47" s="51">
        <v>3</v>
      </c>
      <c r="X47" s="51" t="s">
        <v>40</v>
      </c>
      <c r="Y47" s="57" t="s">
        <v>109</v>
      </c>
      <c r="Z47" s="58">
        <v>0</v>
      </c>
      <c r="AA47" s="57" t="s">
        <v>174</v>
      </c>
      <c r="AB47" s="59">
        <f t="shared" si="0"/>
        <v>45954</v>
      </c>
    </row>
    <row r="48" spans="1:28" ht="12.75">
      <c r="A48" s="56">
        <v>45954.863742754635</v>
      </c>
      <c r="B48" s="51" t="s">
        <v>175</v>
      </c>
      <c r="C48" s="51" t="s">
        <v>29</v>
      </c>
      <c r="D48" s="51" t="s">
        <v>30</v>
      </c>
      <c r="E48" s="51" t="s">
        <v>31</v>
      </c>
      <c r="F48" s="51" t="s">
        <v>85</v>
      </c>
      <c r="G48" s="51" t="s">
        <v>54</v>
      </c>
      <c r="H48" s="51">
        <v>19</v>
      </c>
      <c r="I48" s="51" t="s">
        <v>34</v>
      </c>
      <c r="J48" s="51" t="s">
        <v>89</v>
      </c>
      <c r="K48" s="51" t="s">
        <v>90</v>
      </c>
      <c r="L48" s="51" t="s">
        <v>47</v>
      </c>
      <c r="M48" s="51">
        <v>1</v>
      </c>
      <c r="N48" s="51">
        <v>1</v>
      </c>
      <c r="O48" s="52">
        <v>0</v>
      </c>
      <c r="P48" s="51">
        <v>0</v>
      </c>
      <c r="Q48" s="51">
        <v>1</v>
      </c>
      <c r="R48" s="51">
        <v>1</v>
      </c>
      <c r="S48" s="57" t="s">
        <v>176</v>
      </c>
      <c r="T48" s="51" t="s">
        <v>81</v>
      </c>
      <c r="U48" s="51">
        <v>2</v>
      </c>
      <c r="V48" s="51">
        <v>9</v>
      </c>
      <c r="W48" s="51">
        <v>1</v>
      </c>
      <c r="X48" s="51" t="s">
        <v>40</v>
      </c>
      <c r="Y48" s="57" t="s">
        <v>177</v>
      </c>
      <c r="Z48" s="58">
        <v>0</v>
      </c>
      <c r="AA48" s="57" t="s">
        <v>178</v>
      </c>
      <c r="AB48" s="59">
        <f t="shared" si="0"/>
        <v>45954</v>
      </c>
    </row>
    <row r="49" spans="1:28" ht="12.75">
      <c r="A49" s="56">
        <v>45954.888612719908</v>
      </c>
      <c r="B49" s="51" t="s">
        <v>179</v>
      </c>
      <c r="C49" s="51" t="s">
        <v>29</v>
      </c>
      <c r="D49" s="51" t="s">
        <v>30</v>
      </c>
      <c r="E49" s="51" t="s">
        <v>31</v>
      </c>
      <c r="F49" s="51" t="s">
        <v>32</v>
      </c>
      <c r="G49" s="51" t="s">
        <v>54</v>
      </c>
      <c r="H49" s="51">
        <v>19</v>
      </c>
      <c r="I49" s="51" t="s">
        <v>34</v>
      </c>
      <c r="J49" s="51" t="s">
        <v>64</v>
      </c>
      <c r="K49" s="51" t="s">
        <v>90</v>
      </c>
      <c r="L49" s="51" t="s">
        <v>47</v>
      </c>
      <c r="M49" s="51">
        <v>1</v>
      </c>
      <c r="N49" s="51">
        <v>1</v>
      </c>
      <c r="O49" s="52">
        <v>0</v>
      </c>
      <c r="P49" s="51">
        <v>0</v>
      </c>
      <c r="Q49" s="51">
        <v>2</v>
      </c>
      <c r="R49" s="51">
        <v>1</v>
      </c>
      <c r="S49" s="57" t="s">
        <v>180</v>
      </c>
      <c r="T49" s="51" t="s">
        <v>81</v>
      </c>
      <c r="U49" s="51">
        <v>0</v>
      </c>
      <c r="V49" s="51">
        <v>4</v>
      </c>
      <c r="W49" s="51">
        <v>1</v>
      </c>
      <c r="X49" s="51" t="s">
        <v>60</v>
      </c>
      <c r="Y49" s="57" t="s">
        <v>181</v>
      </c>
      <c r="Z49" s="58">
        <v>0</v>
      </c>
      <c r="AA49" s="57" t="s">
        <v>157</v>
      </c>
      <c r="AB49" s="59">
        <f t="shared" si="0"/>
        <v>45954</v>
      </c>
    </row>
    <row r="50" spans="1:28" ht="12.75">
      <c r="A50" s="56">
        <v>45954.889941435184</v>
      </c>
      <c r="B50" s="51" t="s">
        <v>182</v>
      </c>
      <c r="C50" s="51" t="s">
        <v>29</v>
      </c>
      <c r="D50" s="51" t="s">
        <v>30</v>
      </c>
      <c r="E50" s="51" t="s">
        <v>31</v>
      </c>
      <c r="F50" s="51" t="s">
        <v>32</v>
      </c>
      <c r="G50" s="51" t="s">
        <v>33</v>
      </c>
      <c r="H50" s="51">
        <v>19</v>
      </c>
      <c r="I50" s="51" t="s">
        <v>34</v>
      </c>
      <c r="J50" s="51" t="s">
        <v>64</v>
      </c>
      <c r="K50" s="51" t="s">
        <v>36</v>
      </c>
      <c r="L50" s="51" t="s">
        <v>100</v>
      </c>
      <c r="M50" s="51">
        <v>1</v>
      </c>
      <c r="N50" s="51">
        <v>2</v>
      </c>
      <c r="O50" s="52">
        <v>1</v>
      </c>
      <c r="P50" s="51">
        <v>0</v>
      </c>
      <c r="Q50" s="51">
        <v>2</v>
      </c>
      <c r="R50" s="51">
        <v>1</v>
      </c>
      <c r="S50" s="57" t="s">
        <v>38</v>
      </c>
      <c r="T50" s="51" t="s">
        <v>49</v>
      </c>
      <c r="U50" s="51">
        <v>3</v>
      </c>
      <c r="V50" s="51">
        <v>6</v>
      </c>
      <c r="W50" s="51">
        <v>1</v>
      </c>
      <c r="X50" s="51" t="s">
        <v>40</v>
      </c>
      <c r="Y50" s="57" t="s">
        <v>183</v>
      </c>
      <c r="Z50" s="58">
        <v>0</v>
      </c>
      <c r="AA50" s="57" t="s">
        <v>184</v>
      </c>
      <c r="AB50" s="59">
        <f t="shared" si="0"/>
        <v>45954</v>
      </c>
    </row>
    <row r="51" spans="1:28" ht="12.75">
      <c r="A51" s="56">
        <v>45954.901742037036</v>
      </c>
      <c r="B51" s="51" t="s">
        <v>185</v>
      </c>
      <c r="C51" s="51" t="s">
        <v>29</v>
      </c>
      <c r="D51" s="51" t="s">
        <v>30</v>
      </c>
      <c r="E51" s="51" t="s">
        <v>31</v>
      </c>
      <c r="F51" s="51" t="s">
        <v>32</v>
      </c>
      <c r="G51" s="51" t="s">
        <v>54</v>
      </c>
      <c r="H51" s="51">
        <v>19</v>
      </c>
      <c r="I51" s="51" t="s">
        <v>99</v>
      </c>
      <c r="J51" s="51" t="s">
        <v>64</v>
      </c>
      <c r="K51" s="51" t="s">
        <v>90</v>
      </c>
      <c r="L51" s="51" t="s">
        <v>47</v>
      </c>
      <c r="M51" s="51">
        <v>1</v>
      </c>
      <c r="N51" s="51">
        <v>1</v>
      </c>
      <c r="O51" s="52">
        <v>0</v>
      </c>
      <c r="P51" s="51">
        <v>0</v>
      </c>
      <c r="Q51" s="51">
        <v>1</v>
      </c>
      <c r="R51" s="51">
        <v>1</v>
      </c>
      <c r="S51" s="57" t="s">
        <v>180</v>
      </c>
      <c r="T51" s="51" t="s">
        <v>81</v>
      </c>
      <c r="U51" s="51">
        <v>0</v>
      </c>
      <c r="V51" s="51">
        <v>3</v>
      </c>
      <c r="W51" s="51">
        <v>1</v>
      </c>
      <c r="X51" s="51" t="s">
        <v>60</v>
      </c>
      <c r="Y51" s="57" t="s">
        <v>186</v>
      </c>
      <c r="Z51" s="58">
        <v>0</v>
      </c>
      <c r="AA51" s="57" t="s">
        <v>180</v>
      </c>
      <c r="AB51" s="59">
        <f t="shared" si="0"/>
        <v>45954</v>
      </c>
    </row>
    <row r="52" spans="1:28" ht="12.75">
      <c r="A52" s="56">
        <v>45954.922554050921</v>
      </c>
      <c r="B52" s="51" t="s">
        <v>187</v>
      </c>
      <c r="C52" s="51" t="s">
        <v>29</v>
      </c>
      <c r="D52" s="51" t="s">
        <v>30</v>
      </c>
      <c r="E52" s="51" t="s">
        <v>31</v>
      </c>
      <c r="F52" s="51" t="s">
        <v>32</v>
      </c>
      <c r="G52" s="51" t="s">
        <v>33</v>
      </c>
      <c r="H52" s="51">
        <v>19</v>
      </c>
      <c r="I52" s="51" t="s">
        <v>34</v>
      </c>
      <c r="J52" s="51" t="s">
        <v>64</v>
      </c>
      <c r="K52" s="51" t="s">
        <v>90</v>
      </c>
      <c r="L52" s="51" t="s">
        <v>47</v>
      </c>
      <c r="M52" s="51">
        <v>1</v>
      </c>
      <c r="N52" s="51">
        <v>1</v>
      </c>
      <c r="O52" s="52">
        <v>0</v>
      </c>
      <c r="P52" s="51">
        <v>0</v>
      </c>
      <c r="Q52" s="51">
        <v>1</v>
      </c>
      <c r="R52" s="51">
        <v>1</v>
      </c>
      <c r="S52" s="57" t="s">
        <v>180</v>
      </c>
      <c r="T52" s="51" t="s">
        <v>81</v>
      </c>
      <c r="U52" s="51">
        <v>0</v>
      </c>
      <c r="V52" s="51">
        <v>6</v>
      </c>
      <c r="W52" s="51">
        <v>1</v>
      </c>
      <c r="X52" s="51" t="s">
        <v>40</v>
      </c>
      <c r="Y52" s="57" t="s">
        <v>188</v>
      </c>
      <c r="Z52" s="58">
        <v>1.5</v>
      </c>
      <c r="AA52" s="57" t="s">
        <v>180</v>
      </c>
      <c r="AB52" s="59">
        <f t="shared" si="0"/>
        <v>45954</v>
      </c>
    </row>
    <row r="53" spans="1:28" ht="12.75">
      <c r="A53" s="56">
        <v>45954.93637137732</v>
      </c>
      <c r="B53" s="51" t="s">
        <v>189</v>
      </c>
      <c r="C53" s="51" t="s">
        <v>29</v>
      </c>
      <c r="D53" s="51" t="s">
        <v>30</v>
      </c>
      <c r="E53" s="51" t="s">
        <v>31</v>
      </c>
      <c r="F53" s="51" t="s">
        <v>85</v>
      </c>
      <c r="G53" s="51" t="s">
        <v>33</v>
      </c>
      <c r="H53" s="51">
        <v>19</v>
      </c>
      <c r="I53" s="51" t="s">
        <v>34</v>
      </c>
      <c r="J53" s="51" t="s">
        <v>46</v>
      </c>
      <c r="K53" s="51" t="s">
        <v>36</v>
      </c>
      <c r="L53" s="51" t="s">
        <v>100</v>
      </c>
      <c r="M53" s="51">
        <v>1</v>
      </c>
      <c r="N53" s="51">
        <v>1</v>
      </c>
      <c r="O53" s="52">
        <v>1</v>
      </c>
      <c r="P53" s="51">
        <v>0</v>
      </c>
      <c r="Q53" s="51">
        <v>1</v>
      </c>
      <c r="R53" s="51">
        <v>1</v>
      </c>
      <c r="S53" s="57" t="s">
        <v>48</v>
      </c>
      <c r="T53" s="51" t="s">
        <v>81</v>
      </c>
      <c r="U53" s="51">
        <v>2</v>
      </c>
      <c r="V53" s="51">
        <v>7</v>
      </c>
      <c r="W53" s="51">
        <v>2</v>
      </c>
      <c r="X53" s="51" t="s">
        <v>40</v>
      </c>
      <c r="Y53" s="57" t="s">
        <v>95</v>
      </c>
      <c r="Z53" s="58">
        <v>0</v>
      </c>
      <c r="AA53" s="57" t="s">
        <v>190</v>
      </c>
      <c r="AB53" s="59">
        <f t="shared" si="0"/>
        <v>45954</v>
      </c>
    </row>
    <row r="54" spans="1:28" ht="12.75">
      <c r="A54" s="56">
        <v>45949.911208784717</v>
      </c>
      <c r="B54" s="51" t="s">
        <v>191</v>
      </c>
      <c r="C54" s="51" t="s">
        <v>29</v>
      </c>
      <c r="D54" s="51" t="s">
        <v>30</v>
      </c>
      <c r="E54" s="51" t="s">
        <v>31</v>
      </c>
      <c r="F54" s="51" t="s">
        <v>85</v>
      </c>
      <c r="G54" s="51" t="s">
        <v>54</v>
      </c>
      <c r="H54" s="51">
        <v>20</v>
      </c>
      <c r="I54" s="51" t="s">
        <v>45</v>
      </c>
      <c r="J54" s="51" t="s">
        <v>64</v>
      </c>
      <c r="K54" s="51" t="s">
        <v>90</v>
      </c>
      <c r="L54" s="51" t="s">
        <v>47</v>
      </c>
      <c r="M54" s="51">
        <v>1</v>
      </c>
      <c r="N54" s="51">
        <v>1</v>
      </c>
      <c r="O54" s="52">
        <v>0</v>
      </c>
      <c r="P54" s="51">
        <v>0</v>
      </c>
      <c r="Q54" s="51">
        <v>4</v>
      </c>
      <c r="R54" s="51">
        <v>4</v>
      </c>
      <c r="S54" s="57" t="s">
        <v>192</v>
      </c>
      <c r="T54" s="51" t="s">
        <v>39</v>
      </c>
      <c r="U54" s="51">
        <v>4</v>
      </c>
      <c r="V54" s="51">
        <v>10</v>
      </c>
      <c r="W54" s="51">
        <v>1</v>
      </c>
      <c r="X54" s="51" t="s">
        <v>50</v>
      </c>
      <c r="Y54" s="57" t="s">
        <v>95</v>
      </c>
      <c r="Z54" s="58">
        <v>50</v>
      </c>
      <c r="AA54" s="57" t="s">
        <v>190</v>
      </c>
      <c r="AB54" s="59">
        <f t="shared" si="0"/>
        <v>45949</v>
      </c>
    </row>
    <row r="55" spans="1:28" ht="12.75">
      <c r="A55" s="56">
        <v>45951.963045324075</v>
      </c>
      <c r="B55" s="51" t="s">
        <v>193</v>
      </c>
      <c r="C55" s="51" t="s">
        <v>29</v>
      </c>
      <c r="D55" s="51" t="s">
        <v>30</v>
      </c>
      <c r="E55" s="51" t="s">
        <v>31</v>
      </c>
      <c r="F55" s="51" t="s">
        <v>53</v>
      </c>
      <c r="G55" s="51" t="s">
        <v>33</v>
      </c>
      <c r="H55" s="51">
        <v>20</v>
      </c>
      <c r="I55" s="51" t="s">
        <v>34</v>
      </c>
      <c r="J55" s="51" t="s">
        <v>108</v>
      </c>
      <c r="K55" s="51" t="s">
        <v>36</v>
      </c>
      <c r="L55" s="51" t="s">
        <v>37</v>
      </c>
      <c r="M55" s="51">
        <v>3</v>
      </c>
      <c r="N55" s="51">
        <v>3</v>
      </c>
      <c r="O55" s="52">
        <v>30</v>
      </c>
      <c r="P55" s="51">
        <v>2</v>
      </c>
      <c r="Q55" s="51">
        <v>5</v>
      </c>
      <c r="R55" s="51">
        <v>5</v>
      </c>
      <c r="S55" s="57" t="s">
        <v>125</v>
      </c>
      <c r="T55" s="51" t="s">
        <v>94</v>
      </c>
      <c r="U55" s="51">
        <v>2</v>
      </c>
      <c r="V55" s="51">
        <v>10</v>
      </c>
      <c r="W55" s="51">
        <v>3</v>
      </c>
      <c r="X55" s="51" t="s">
        <v>50</v>
      </c>
      <c r="Y55" s="57" t="s">
        <v>109</v>
      </c>
      <c r="Z55" s="58">
        <v>300.5</v>
      </c>
      <c r="AA55" s="57" t="s">
        <v>174</v>
      </c>
      <c r="AB55" s="59">
        <f t="shared" si="0"/>
        <v>45951</v>
      </c>
    </row>
    <row r="56" spans="1:28" ht="12.75">
      <c r="A56" s="56">
        <v>45951.986714282408</v>
      </c>
      <c r="B56" s="51" t="s">
        <v>194</v>
      </c>
      <c r="C56" s="51" t="s">
        <v>29</v>
      </c>
      <c r="D56" s="51" t="s">
        <v>30</v>
      </c>
      <c r="E56" s="51" t="s">
        <v>31</v>
      </c>
      <c r="F56" s="51" t="s">
        <v>32</v>
      </c>
      <c r="G56" s="51" t="s">
        <v>54</v>
      </c>
      <c r="H56" s="51">
        <v>20</v>
      </c>
      <c r="I56" s="51" t="s">
        <v>45</v>
      </c>
      <c r="J56" s="51" t="s">
        <v>108</v>
      </c>
      <c r="K56" s="51" t="s">
        <v>36</v>
      </c>
      <c r="L56" s="51" t="s">
        <v>68</v>
      </c>
      <c r="M56" s="51">
        <v>2</v>
      </c>
      <c r="N56" s="51">
        <v>3</v>
      </c>
      <c r="O56" s="52">
        <v>0.5</v>
      </c>
      <c r="P56" s="51">
        <v>0</v>
      </c>
      <c r="Q56" s="51">
        <v>3</v>
      </c>
      <c r="R56" s="51">
        <v>4</v>
      </c>
      <c r="S56" s="57" t="s">
        <v>135</v>
      </c>
      <c r="T56" s="51" t="s">
        <v>49</v>
      </c>
      <c r="U56" s="51">
        <v>2</v>
      </c>
      <c r="V56" s="51">
        <v>10</v>
      </c>
      <c r="W56" s="51">
        <v>1</v>
      </c>
      <c r="X56" s="51" t="s">
        <v>40</v>
      </c>
      <c r="Y56" s="57" t="s">
        <v>144</v>
      </c>
      <c r="Z56" s="58">
        <v>18</v>
      </c>
      <c r="AA56" s="57" t="s">
        <v>195</v>
      </c>
      <c r="AB56" s="59">
        <f t="shared" si="0"/>
        <v>45951</v>
      </c>
    </row>
    <row r="57" spans="1:28" ht="12.75">
      <c r="A57" s="56">
        <v>45952.188062638888</v>
      </c>
      <c r="B57" s="51" t="s">
        <v>196</v>
      </c>
      <c r="C57" s="51" t="s">
        <v>29</v>
      </c>
      <c r="D57" s="51" t="s">
        <v>30</v>
      </c>
      <c r="E57" s="51" t="s">
        <v>31</v>
      </c>
      <c r="F57" s="51" t="s">
        <v>44</v>
      </c>
      <c r="G57" s="51" t="s">
        <v>54</v>
      </c>
      <c r="H57" s="51">
        <v>20</v>
      </c>
      <c r="I57" s="51" t="s">
        <v>34</v>
      </c>
      <c r="J57" s="51" t="s">
        <v>89</v>
      </c>
      <c r="K57" s="51" t="s">
        <v>36</v>
      </c>
      <c r="L57" s="51" t="s">
        <v>74</v>
      </c>
      <c r="M57" s="51">
        <v>1</v>
      </c>
      <c r="N57" s="51">
        <v>1</v>
      </c>
      <c r="O57" s="52">
        <v>0</v>
      </c>
      <c r="P57" s="51">
        <v>0</v>
      </c>
      <c r="Q57" s="51">
        <v>4</v>
      </c>
      <c r="R57" s="51">
        <v>4</v>
      </c>
      <c r="S57" s="57" t="s">
        <v>91</v>
      </c>
      <c r="T57" s="51" t="s">
        <v>39</v>
      </c>
      <c r="U57" s="51">
        <v>5</v>
      </c>
      <c r="V57" s="51">
        <v>10</v>
      </c>
      <c r="W57" s="51">
        <v>1</v>
      </c>
      <c r="X57" s="51" t="s">
        <v>69</v>
      </c>
      <c r="Y57" s="57" t="s">
        <v>41</v>
      </c>
      <c r="Z57" s="58">
        <v>20</v>
      </c>
      <c r="AA57" s="57" t="s">
        <v>197</v>
      </c>
      <c r="AB57" s="59">
        <f t="shared" si="0"/>
        <v>45952</v>
      </c>
    </row>
    <row r="58" spans="1:28" ht="12.75">
      <c r="A58" s="56">
        <v>45952.192025543976</v>
      </c>
      <c r="B58" s="51" t="s">
        <v>198</v>
      </c>
      <c r="C58" s="51" t="s">
        <v>29</v>
      </c>
      <c r="D58" s="51" t="s">
        <v>30</v>
      </c>
      <c r="E58" s="51" t="s">
        <v>31</v>
      </c>
      <c r="F58" s="51" t="s">
        <v>44</v>
      </c>
      <c r="G58" s="51" t="s">
        <v>54</v>
      </c>
      <c r="H58" s="51">
        <v>20</v>
      </c>
      <c r="I58" s="51" t="s">
        <v>34</v>
      </c>
      <c r="J58" s="51" t="s">
        <v>46</v>
      </c>
      <c r="K58" s="51" t="s">
        <v>36</v>
      </c>
      <c r="L58" s="51" t="s">
        <v>37</v>
      </c>
      <c r="M58" s="51">
        <v>2</v>
      </c>
      <c r="N58" s="51">
        <v>2</v>
      </c>
      <c r="O58" s="52">
        <v>5</v>
      </c>
      <c r="P58" s="51">
        <v>0</v>
      </c>
      <c r="Q58" s="51">
        <v>5</v>
      </c>
      <c r="R58" s="51">
        <v>5</v>
      </c>
      <c r="S58" s="57" t="s">
        <v>141</v>
      </c>
      <c r="T58" s="51" t="s">
        <v>102</v>
      </c>
      <c r="U58" s="51">
        <v>5</v>
      </c>
      <c r="V58" s="51">
        <v>10</v>
      </c>
      <c r="W58" s="51">
        <v>1</v>
      </c>
      <c r="X58" s="51" t="s">
        <v>50</v>
      </c>
      <c r="Y58" s="57" t="s">
        <v>199</v>
      </c>
      <c r="Z58" s="58">
        <v>20</v>
      </c>
      <c r="AA58" s="57" t="s">
        <v>51</v>
      </c>
      <c r="AB58" s="59">
        <f t="shared" si="0"/>
        <v>45952</v>
      </c>
    </row>
    <row r="59" spans="1:28" ht="12.75">
      <c r="A59" s="56">
        <v>45952.389994444442</v>
      </c>
      <c r="B59" s="51" t="s">
        <v>200</v>
      </c>
      <c r="C59" s="51" t="s">
        <v>29</v>
      </c>
      <c r="D59" s="51" t="s">
        <v>30</v>
      </c>
      <c r="E59" s="51" t="s">
        <v>31</v>
      </c>
      <c r="F59" s="51" t="s">
        <v>44</v>
      </c>
      <c r="G59" s="51" t="s">
        <v>54</v>
      </c>
      <c r="H59" s="51">
        <v>20</v>
      </c>
      <c r="I59" s="51" t="s">
        <v>34</v>
      </c>
      <c r="J59" s="51" t="s">
        <v>64</v>
      </c>
      <c r="K59" s="51" t="s">
        <v>36</v>
      </c>
      <c r="L59" s="51" t="s">
        <v>47</v>
      </c>
      <c r="M59" s="51">
        <v>1</v>
      </c>
      <c r="N59" s="51">
        <v>1</v>
      </c>
      <c r="O59" s="52">
        <v>0</v>
      </c>
      <c r="P59" s="51">
        <v>0</v>
      </c>
      <c r="Q59" s="51">
        <v>3</v>
      </c>
      <c r="R59" s="51">
        <v>3</v>
      </c>
      <c r="S59" s="57" t="s">
        <v>91</v>
      </c>
      <c r="T59" s="51" t="s">
        <v>39</v>
      </c>
      <c r="U59" s="51">
        <v>5</v>
      </c>
      <c r="V59" s="51">
        <v>9</v>
      </c>
      <c r="W59" s="51">
        <v>1</v>
      </c>
      <c r="X59" s="51" t="s">
        <v>50</v>
      </c>
      <c r="Y59" s="57" t="s">
        <v>201</v>
      </c>
      <c r="Z59" s="58">
        <v>25</v>
      </c>
      <c r="AA59" s="57" t="s">
        <v>202</v>
      </c>
      <c r="AB59" s="59">
        <f t="shared" si="0"/>
        <v>45952</v>
      </c>
    </row>
    <row r="60" spans="1:28" ht="12.75">
      <c r="A60" s="56">
        <v>45952.391820844903</v>
      </c>
      <c r="B60" s="51" t="s">
        <v>203</v>
      </c>
      <c r="C60" s="51" t="s">
        <v>29</v>
      </c>
      <c r="D60" s="51" t="s">
        <v>30</v>
      </c>
      <c r="E60" s="51" t="s">
        <v>31</v>
      </c>
      <c r="F60" s="51" t="s">
        <v>44</v>
      </c>
      <c r="G60" s="51" t="s">
        <v>33</v>
      </c>
      <c r="H60" s="51">
        <v>20</v>
      </c>
      <c r="I60" s="51" t="s">
        <v>34</v>
      </c>
      <c r="J60" s="51" t="s">
        <v>35</v>
      </c>
      <c r="K60" s="51" t="s">
        <v>36</v>
      </c>
      <c r="L60" s="51" t="s">
        <v>68</v>
      </c>
      <c r="M60" s="51">
        <v>2</v>
      </c>
      <c r="N60" s="51">
        <v>2</v>
      </c>
      <c r="O60" s="52">
        <v>5</v>
      </c>
      <c r="P60" s="51">
        <v>10</v>
      </c>
      <c r="Q60" s="51">
        <v>5</v>
      </c>
      <c r="R60" s="51">
        <v>5</v>
      </c>
      <c r="S60" s="57" t="s">
        <v>141</v>
      </c>
      <c r="T60" s="51" t="s">
        <v>102</v>
      </c>
      <c r="U60" s="51">
        <v>20</v>
      </c>
      <c r="V60" s="51">
        <v>10</v>
      </c>
      <c r="W60" s="51">
        <v>1</v>
      </c>
      <c r="X60" s="51" t="s">
        <v>69</v>
      </c>
      <c r="Y60" s="57" t="s">
        <v>61</v>
      </c>
      <c r="Z60" s="58">
        <v>50</v>
      </c>
      <c r="AA60" s="57" t="s">
        <v>184</v>
      </c>
      <c r="AB60" s="59">
        <f t="shared" si="0"/>
        <v>45952</v>
      </c>
    </row>
    <row r="61" spans="1:28" ht="12.75">
      <c r="A61" s="56">
        <v>45952.886975868052</v>
      </c>
      <c r="B61" s="51" t="s">
        <v>204</v>
      </c>
      <c r="C61" s="51" t="s">
        <v>29</v>
      </c>
      <c r="D61" s="51" t="s">
        <v>30</v>
      </c>
      <c r="E61" s="51" t="s">
        <v>31</v>
      </c>
      <c r="F61" s="51" t="s">
        <v>53</v>
      </c>
      <c r="G61" s="51" t="s">
        <v>33</v>
      </c>
      <c r="H61" s="51">
        <v>20</v>
      </c>
      <c r="I61" s="51" t="s">
        <v>34</v>
      </c>
      <c r="J61" s="51" t="s">
        <v>35</v>
      </c>
      <c r="K61" s="51" t="s">
        <v>36</v>
      </c>
      <c r="L61" s="51" t="s">
        <v>68</v>
      </c>
      <c r="M61" s="51">
        <v>2</v>
      </c>
      <c r="N61" s="51">
        <v>2</v>
      </c>
      <c r="O61" s="52">
        <v>6</v>
      </c>
      <c r="P61" s="51">
        <v>0</v>
      </c>
      <c r="Q61" s="51">
        <v>5</v>
      </c>
      <c r="R61" s="51">
        <v>2</v>
      </c>
      <c r="S61" s="57" t="s">
        <v>135</v>
      </c>
      <c r="T61" s="51" t="s">
        <v>94</v>
      </c>
      <c r="U61" s="51">
        <v>5</v>
      </c>
      <c r="V61" s="51">
        <v>10</v>
      </c>
      <c r="W61" s="51">
        <v>3</v>
      </c>
      <c r="X61" s="51" t="s">
        <v>69</v>
      </c>
      <c r="Y61" s="57" t="s">
        <v>82</v>
      </c>
      <c r="Z61" s="58">
        <v>120.59</v>
      </c>
      <c r="AA61" s="57" t="s">
        <v>57</v>
      </c>
      <c r="AB61" s="59">
        <f t="shared" si="0"/>
        <v>45952</v>
      </c>
    </row>
    <row r="62" spans="1:28" ht="12.75">
      <c r="A62" s="56">
        <v>45953.378891863424</v>
      </c>
      <c r="B62" s="51" t="s">
        <v>205</v>
      </c>
      <c r="C62" s="51" t="s">
        <v>29</v>
      </c>
      <c r="D62" s="51" t="s">
        <v>30</v>
      </c>
      <c r="E62" s="51" t="s">
        <v>31</v>
      </c>
      <c r="F62" s="51" t="s">
        <v>53</v>
      </c>
      <c r="G62" s="51" t="s">
        <v>54</v>
      </c>
      <c r="H62" s="51">
        <v>20</v>
      </c>
      <c r="I62" s="51" t="s">
        <v>34</v>
      </c>
      <c r="J62" s="51" t="s">
        <v>89</v>
      </c>
      <c r="K62" s="51" t="s">
        <v>36</v>
      </c>
      <c r="L62" s="51" t="s">
        <v>37</v>
      </c>
      <c r="M62" s="51">
        <v>3</v>
      </c>
      <c r="N62" s="51">
        <v>3</v>
      </c>
      <c r="O62" s="52">
        <v>40</v>
      </c>
      <c r="P62" s="51">
        <v>2</v>
      </c>
      <c r="Q62" s="51">
        <v>5</v>
      </c>
      <c r="R62" s="51">
        <v>4</v>
      </c>
      <c r="S62" s="57" t="s">
        <v>101</v>
      </c>
      <c r="T62" s="51" t="s">
        <v>94</v>
      </c>
      <c r="U62" s="51">
        <v>3</v>
      </c>
      <c r="V62" s="51">
        <v>10</v>
      </c>
      <c r="W62" s="51">
        <v>3</v>
      </c>
      <c r="X62" s="51" t="s">
        <v>69</v>
      </c>
      <c r="Y62" s="57" t="s">
        <v>144</v>
      </c>
      <c r="Z62" s="58">
        <v>50.5</v>
      </c>
      <c r="AA62" s="57" t="s">
        <v>116</v>
      </c>
      <c r="AB62" s="59">
        <f t="shared" si="0"/>
        <v>45953</v>
      </c>
    </row>
    <row r="63" spans="1:28" ht="12.75">
      <c r="A63" s="56">
        <v>45953.388764016199</v>
      </c>
      <c r="B63" s="51" t="s">
        <v>206</v>
      </c>
      <c r="C63" s="51" t="s">
        <v>29</v>
      </c>
      <c r="D63" s="51" t="s">
        <v>30</v>
      </c>
      <c r="E63" s="51" t="s">
        <v>31</v>
      </c>
      <c r="F63" s="51" t="s">
        <v>53</v>
      </c>
      <c r="G63" s="51" t="s">
        <v>33</v>
      </c>
      <c r="H63" s="51">
        <v>20</v>
      </c>
      <c r="I63" s="51" t="s">
        <v>34</v>
      </c>
      <c r="J63" s="51" t="s">
        <v>108</v>
      </c>
      <c r="K63" s="51" t="s">
        <v>36</v>
      </c>
      <c r="L63" s="51" t="s">
        <v>37</v>
      </c>
      <c r="M63" s="51">
        <v>2</v>
      </c>
      <c r="N63" s="51">
        <v>1</v>
      </c>
      <c r="O63" s="52">
        <v>4.5</v>
      </c>
      <c r="P63" s="51">
        <v>1</v>
      </c>
      <c r="Q63" s="51">
        <v>5</v>
      </c>
      <c r="R63" s="51">
        <v>2</v>
      </c>
      <c r="S63" s="57" t="s">
        <v>207</v>
      </c>
      <c r="T63" s="51" t="s">
        <v>49</v>
      </c>
      <c r="U63" s="51">
        <v>2</v>
      </c>
      <c r="V63" s="51">
        <v>9</v>
      </c>
      <c r="W63" s="51">
        <v>2</v>
      </c>
      <c r="X63" s="51" t="s">
        <v>50</v>
      </c>
      <c r="Y63" s="57" t="s">
        <v>65</v>
      </c>
      <c r="Z63" s="58">
        <v>20.99</v>
      </c>
      <c r="AA63" s="57" t="s">
        <v>51</v>
      </c>
      <c r="AB63" s="59">
        <f t="shared" si="0"/>
        <v>45953</v>
      </c>
    </row>
    <row r="64" spans="1:28" ht="12.75">
      <c r="A64" s="56">
        <v>45953.554457881939</v>
      </c>
      <c r="B64" s="51" t="s">
        <v>208</v>
      </c>
      <c r="C64" s="51" t="s">
        <v>29</v>
      </c>
      <c r="D64" s="51" t="s">
        <v>30</v>
      </c>
      <c r="E64" s="51" t="s">
        <v>31</v>
      </c>
      <c r="F64" s="51" t="s">
        <v>53</v>
      </c>
      <c r="G64" s="51" t="s">
        <v>33</v>
      </c>
      <c r="H64" s="51">
        <v>20</v>
      </c>
      <c r="I64" s="51" t="s">
        <v>34</v>
      </c>
      <c r="J64" s="51" t="s">
        <v>46</v>
      </c>
      <c r="K64" s="51" t="s">
        <v>36</v>
      </c>
      <c r="L64" s="51" t="s">
        <v>68</v>
      </c>
      <c r="M64" s="51">
        <v>1</v>
      </c>
      <c r="N64" s="51">
        <v>1</v>
      </c>
      <c r="O64" s="52">
        <v>3.5</v>
      </c>
      <c r="P64" s="51">
        <v>0</v>
      </c>
      <c r="Q64" s="51">
        <v>4</v>
      </c>
      <c r="R64" s="51">
        <v>1</v>
      </c>
      <c r="S64" s="57" t="s">
        <v>38</v>
      </c>
      <c r="T64" s="51" t="s">
        <v>49</v>
      </c>
      <c r="U64" s="51">
        <v>0</v>
      </c>
      <c r="V64" s="51">
        <v>5</v>
      </c>
      <c r="W64" s="51">
        <v>1</v>
      </c>
      <c r="X64" s="51" t="s">
        <v>40</v>
      </c>
      <c r="Y64" s="57" t="s">
        <v>82</v>
      </c>
      <c r="Z64" s="58">
        <v>10.7</v>
      </c>
      <c r="AA64" s="57" t="s">
        <v>66</v>
      </c>
      <c r="AB64" s="59">
        <f t="shared" si="0"/>
        <v>45953</v>
      </c>
    </row>
    <row r="65" spans="1:28" ht="12.75">
      <c r="A65" s="56">
        <v>45953.597827199075</v>
      </c>
      <c r="B65" s="51" t="s">
        <v>209</v>
      </c>
      <c r="C65" s="51" t="s">
        <v>29</v>
      </c>
      <c r="D65" s="51" t="s">
        <v>30</v>
      </c>
      <c r="E65" s="51" t="s">
        <v>31</v>
      </c>
      <c r="F65" s="51" t="s">
        <v>53</v>
      </c>
      <c r="G65" s="51" t="s">
        <v>33</v>
      </c>
      <c r="H65" s="51">
        <v>20</v>
      </c>
      <c r="I65" s="51" t="s">
        <v>34</v>
      </c>
      <c r="J65" s="51" t="s">
        <v>46</v>
      </c>
      <c r="K65" s="51" t="s">
        <v>90</v>
      </c>
      <c r="L65" s="51" t="s">
        <v>47</v>
      </c>
      <c r="M65" s="51">
        <v>1</v>
      </c>
      <c r="N65" s="51">
        <v>1</v>
      </c>
      <c r="O65" s="52">
        <v>0</v>
      </c>
      <c r="P65" s="51">
        <v>0</v>
      </c>
      <c r="Q65" s="51">
        <v>3</v>
      </c>
      <c r="R65" s="51">
        <v>3</v>
      </c>
      <c r="S65" s="57" t="s">
        <v>59</v>
      </c>
      <c r="T65" s="51" t="s">
        <v>39</v>
      </c>
      <c r="U65" s="51">
        <v>0</v>
      </c>
      <c r="V65" s="51">
        <v>6</v>
      </c>
      <c r="W65" s="51">
        <v>2</v>
      </c>
      <c r="X65" s="51" t="s">
        <v>50</v>
      </c>
      <c r="Y65" s="57" t="s">
        <v>133</v>
      </c>
      <c r="Z65" s="58">
        <v>20.5</v>
      </c>
      <c r="AA65" s="57" t="s">
        <v>42</v>
      </c>
      <c r="AB65" s="59">
        <f t="shared" si="0"/>
        <v>45953</v>
      </c>
    </row>
    <row r="66" spans="1:28" ht="12.75">
      <c r="A66" s="56">
        <v>45953.672500439818</v>
      </c>
      <c r="B66" s="51" t="s">
        <v>210</v>
      </c>
      <c r="C66" s="51" t="s">
        <v>29</v>
      </c>
      <c r="D66" s="51" t="s">
        <v>30</v>
      </c>
      <c r="E66" s="51" t="s">
        <v>31</v>
      </c>
      <c r="F66" s="51" t="s">
        <v>32</v>
      </c>
      <c r="G66" s="51" t="s">
        <v>54</v>
      </c>
      <c r="H66" s="51">
        <v>20</v>
      </c>
      <c r="I66" s="51" t="s">
        <v>34</v>
      </c>
      <c r="J66" s="51" t="s">
        <v>64</v>
      </c>
      <c r="K66" s="51" t="s">
        <v>36</v>
      </c>
      <c r="L66" s="51" t="s">
        <v>74</v>
      </c>
      <c r="M66" s="51">
        <v>2</v>
      </c>
      <c r="N66" s="51">
        <v>5</v>
      </c>
      <c r="O66" s="52">
        <v>15</v>
      </c>
      <c r="P66" s="51">
        <v>1</v>
      </c>
      <c r="Q66" s="51">
        <v>5</v>
      </c>
      <c r="R66" s="51">
        <v>5</v>
      </c>
      <c r="S66" s="57" t="s">
        <v>48</v>
      </c>
      <c r="T66" s="51" t="s">
        <v>94</v>
      </c>
      <c r="U66" s="51">
        <v>2</v>
      </c>
      <c r="V66" s="51">
        <v>10</v>
      </c>
      <c r="W66" s="51">
        <v>4</v>
      </c>
      <c r="X66" s="51" t="s">
        <v>50</v>
      </c>
      <c r="Y66" s="57" t="s">
        <v>106</v>
      </c>
      <c r="Z66" s="58">
        <v>49.99</v>
      </c>
      <c r="AA66" s="57" t="s">
        <v>157</v>
      </c>
      <c r="AB66" s="59">
        <f t="shared" ref="AB66:AB129" si="1">INT(A66)</f>
        <v>45953</v>
      </c>
    </row>
    <row r="67" spans="1:28" ht="12.75">
      <c r="A67" s="56">
        <v>45953.751499351856</v>
      </c>
      <c r="B67" s="51" t="s">
        <v>211</v>
      </c>
      <c r="C67" s="51" t="s">
        <v>29</v>
      </c>
      <c r="D67" s="51" t="s">
        <v>30</v>
      </c>
      <c r="E67" s="51" t="s">
        <v>31</v>
      </c>
      <c r="F67" s="51" t="s">
        <v>53</v>
      </c>
      <c r="G67" s="51" t="s">
        <v>54</v>
      </c>
      <c r="H67" s="51">
        <v>20</v>
      </c>
      <c r="I67" s="51" t="s">
        <v>34</v>
      </c>
      <c r="J67" s="51" t="s">
        <v>35</v>
      </c>
      <c r="K67" s="51" t="s">
        <v>36</v>
      </c>
      <c r="L67" s="51" t="s">
        <v>74</v>
      </c>
      <c r="M67" s="51">
        <v>1</v>
      </c>
      <c r="N67" s="51">
        <v>1</v>
      </c>
      <c r="O67" s="52">
        <v>12.5</v>
      </c>
      <c r="P67" s="51">
        <v>0</v>
      </c>
      <c r="Q67" s="51">
        <v>4</v>
      </c>
      <c r="R67" s="51">
        <v>2</v>
      </c>
      <c r="S67" s="57" t="s">
        <v>132</v>
      </c>
      <c r="T67" s="51" t="s">
        <v>39</v>
      </c>
      <c r="U67" s="51">
        <v>2</v>
      </c>
      <c r="V67" s="51">
        <v>5</v>
      </c>
      <c r="W67" s="51">
        <v>2</v>
      </c>
      <c r="X67" s="51" t="s">
        <v>40</v>
      </c>
      <c r="Y67" s="57" t="s">
        <v>65</v>
      </c>
      <c r="Z67" s="58">
        <v>40.5</v>
      </c>
      <c r="AA67" s="57" t="s">
        <v>114</v>
      </c>
      <c r="AB67" s="59">
        <f t="shared" si="1"/>
        <v>45953</v>
      </c>
    </row>
    <row r="68" spans="1:28" ht="12.75">
      <c r="A68" s="56">
        <v>45953.759775231483</v>
      </c>
      <c r="B68" s="51" t="s">
        <v>212</v>
      </c>
      <c r="C68" s="51" t="s">
        <v>29</v>
      </c>
      <c r="D68" s="51" t="s">
        <v>30</v>
      </c>
      <c r="E68" s="51" t="s">
        <v>31</v>
      </c>
      <c r="F68" s="51" t="s">
        <v>53</v>
      </c>
      <c r="G68" s="51" t="s">
        <v>33</v>
      </c>
      <c r="H68" s="51">
        <v>20</v>
      </c>
      <c r="I68" s="51" t="s">
        <v>34</v>
      </c>
      <c r="J68" s="51" t="s">
        <v>79</v>
      </c>
      <c r="K68" s="51" t="s">
        <v>36</v>
      </c>
      <c r="L68" s="51" t="s">
        <v>68</v>
      </c>
      <c r="M68" s="51">
        <v>2</v>
      </c>
      <c r="N68" s="51">
        <v>1</v>
      </c>
      <c r="O68" s="52">
        <v>10.5</v>
      </c>
      <c r="P68" s="51">
        <v>0</v>
      </c>
      <c r="Q68" s="51">
        <v>4</v>
      </c>
      <c r="R68" s="51">
        <v>3</v>
      </c>
      <c r="S68" s="57" t="s">
        <v>135</v>
      </c>
      <c r="T68" s="51" t="s">
        <v>39</v>
      </c>
      <c r="U68" s="51">
        <v>1</v>
      </c>
      <c r="V68" s="51">
        <v>10</v>
      </c>
      <c r="W68" s="51">
        <v>2</v>
      </c>
      <c r="X68" s="51" t="s">
        <v>50</v>
      </c>
      <c r="Y68" s="57" t="s">
        <v>118</v>
      </c>
      <c r="Z68" s="58">
        <v>250.5</v>
      </c>
      <c r="AA68" s="57" t="s">
        <v>213</v>
      </c>
      <c r="AB68" s="59">
        <f t="shared" si="1"/>
        <v>45953</v>
      </c>
    </row>
    <row r="69" spans="1:28" ht="12.75">
      <c r="A69" s="56">
        <v>45953.801359699079</v>
      </c>
      <c r="B69" s="51" t="s">
        <v>214</v>
      </c>
      <c r="C69" s="51" t="s">
        <v>29</v>
      </c>
      <c r="D69" s="51" t="s">
        <v>30</v>
      </c>
      <c r="E69" s="51" t="s">
        <v>31</v>
      </c>
      <c r="F69" s="51" t="s">
        <v>32</v>
      </c>
      <c r="G69" s="51" t="s">
        <v>33</v>
      </c>
      <c r="H69" s="51">
        <v>20</v>
      </c>
      <c r="I69" s="51" t="s">
        <v>34</v>
      </c>
      <c r="J69" s="51" t="s">
        <v>64</v>
      </c>
      <c r="K69" s="51" t="s">
        <v>36</v>
      </c>
      <c r="L69" s="51" t="s">
        <v>74</v>
      </c>
      <c r="M69" s="51">
        <v>1</v>
      </c>
      <c r="N69" s="51">
        <v>3</v>
      </c>
      <c r="O69" s="52">
        <v>0.5</v>
      </c>
      <c r="P69" s="51">
        <v>1</v>
      </c>
      <c r="Q69" s="51">
        <v>3</v>
      </c>
      <c r="R69" s="51">
        <v>4</v>
      </c>
      <c r="S69" s="57" t="s">
        <v>86</v>
      </c>
      <c r="T69" s="51" t="s">
        <v>49</v>
      </c>
      <c r="U69" s="51">
        <v>4</v>
      </c>
      <c r="V69" s="51">
        <v>8</v>
      </c>
      <c r="W69" s="51">
        <v>1</v>
      </c>
      <c r="X69" s="51" t="s">
        <v>40</v>
      </c>
      <c r="Y69" s="57" t="s">
        <v>95</v>
      </c>
      <c r="Z69" s="58">
        <v>10</v>
      </c>
      <c r="AA69" s="57" t="s">
        <v>215</v>
      </c>
      <c r="AB69" s="59">
        <f t="shared" si="1"/>
        <v>45953</v>
      </c>
    </row>
    <row r="70" spans="1:28" ht="12.75">
      <c r="A70" s="56">
        <v>45953.810182673609</v>
      </c>
      <c r="B70" s="51" t="s">
        <v>216</v>
      </c>
      <c r="C70" s="51" t="s">
        <v>29</v>
      </c>
      <c r="D70" s="51" t="s">
        <v>30</v>
      </c>
      <c r="E70" s="51" t="s">
        <v>31</v>
      </c>
      <c r="F70" s="51" t="s">
        <v>32</v>
      </c>
      <c r="G70" s="51" t="s">
        <v>54</v>
      </c>
      <c r="H70" s="51">
        <v>20</v>
      </c>
      <c r="I70" s="51" t="s">
        <v>34</v>
      </c>
      <c r="J70" s="51" t="s">
        <v>64</v>
      </c>
      <c r="K70" s="51" t="s">
        <v>36</v>
      </c>
      <c r="L70" s="51" t="s">
        <v>74</v>
      </c>
      <c r="M70" s="51">
        <v>2</v>
      </c>
      <c r="N70" s="51">
        <v>3</v>
      </c>
      <c r="O70" s="52">
        <v>4.75</v>
      </c>
      <c r="P70" s="51">
        <v>1</v>
      </c>
      <c r="Q70" s="51">
        <v>5</v>
      </c>
      <c r="R70" s="51">
        <v>3</v>
      </c>
      <c r="S70" s="57" t="s">
        <v>125</v>
      </c>
      <c r="T70" s="51" t="s">
        <v>94</v>
      </c>
      <c r="U70" s="51">
        <v>9</v>
      </c>
      <c r="V70" s="51">
        <v>10</v>
      </c>
      <c r="W70" s="51">
        <v>2</v>
      </c>
      <c r="X70" s="51" t="s">
        <v>40</v>
      </c>
      <c r="Y70" s="57" t="s">
        <v>217</v>
      </c>
      <c r="Z70" s="58">
        <v>30</v>
      </c>
      <c r="AA70" s="57" t="s">
        <v>178</v>
      </c>
      <c r="AB70" s="59">
        <f t="shared" si="1"/>
        <v>45953</v>
      </c>
    </row>
    <row r="71" spans="1:28" ht="12.75">
      <c r="A71" s="56">
        <v>45953.817474884258</v>
      </c>
      <c r="B71" s="51" t="s">
        <v>218</v>
      </c>
      <c r="C71" s="51" t="s">
        <v>29</v>
      </c>
      <c r="D71" s="51" t="s">
        <v>30</v>
      </c>
      <c r="E71" s="51" t="s">
        <v>31</v>
      </c>
      <c r="F71" s="51" t="s">
        <v>32</v>
      </c>
      <c r="G71" s="51" t="s">
        <v>54</v>
      </c>
      <c r="H71" s="51">
        <v>20</v>
      </c>
      <c r="I71" s="51" t="s">
        <v>99</v>
      </c>
      <c r="J71" s="51" t="s">
        <v>64</v>
      </c>
      <c r="K71" s="51" t="s">
        <v>90</v>
      </c>
      <c r="L71" s="51" t="s">
        <v>47</v>
      </c>
      <c r="M71" s="51">
        <v>1</v>
      </c>
      <c r="N71" s="51">
        <v>1</v>
      </c>
      <c r="O71" s="52">
        <v>0</v>
      </c>
      <c r="P71" s="51">
        <v>0</v>
      </c>
      <c r="Q71" s="51">
        <v>2</v>
      </c>
      <c r="R71" s="51">
        <v>3</v>
      </c>
      <c r="S71" s="57" t="s">
        <v>38</v>
      </c>
      <c r="T71" s="51" t="s">
        <v>81</v>
      </c>
      <c r="U71" s="51">
        <v>1</v>
      </c>
      <c r="V71" s="51">
        <v>4</v>
      </c>
      <c r="W71" s="51">
        <v>1</v>
      </c>
      <c r="X71" s="51" t="s">
        <v>60</v>
      </c>
      <c r="Y71" s="57" t="s">
        <v>181</v>
      </c>
      <c r="Z71" s="58">
        <v>5</v>
      </c>
      <c r="AA71" s="57" t="s">
        <v>219</v>
      </c>
      <c r="AB71" s="59">
        <f t="shared" si="1"/>
        <v>45953</v>
      </c>
    </row>
    <row r="72" spans="1:28" ht="12.75">
      <c r="A72" s="56">
        <v>45953.826080972227</v>
      </c>
      <c r="B72" s="51" t="s">
        <v>220</v>
      </c>
      <c r="C72" s="51" t="s">
        <v>29</v>
      </c>
      <c r="D72" s="51" t="s">
        <v>30</v>
      </c>
      <c r="E72" s="51" t="s">
        <v>31</v>
      </c>
      <c r="F72" s="51" t="s">
        <v>32</v>
      </c>
      <c r="G72" s="51" t="s">
        <v>33</v>
      </c>
      <c r="H72" s="51">
        <v>20</v>
      </c>
      <c r="I72" s="51" t="s">
        <v>34</v>
      </c>
      <c r="J72" s="51" t="s">
        <v>64</v>
      </c>
      <c r="K72" s="51" t="s">
        <v>36</v>
      </c>
      <c r="L72" s="51" t="s">
        <v>68</v>
      </c>
      <c r="M72" s="51">
        <v>1</v>
      </c>
      <c r="N72" s="51">
        <v>1</v>
      </c>
      <c r="O72" s="52">
        <v>1</v>
      </c>
      <c r="P72" s="51">
        <v>0</v>
      </c>
      <c r="Q72" s="51">
        <v>3</v>
      </c>
      <c r="R72" s="51">
        <v>3</v>
      </c>
      <c r="S72" s="57" t="s">
        <v>91</v>
      </c>
      <c r="T72" s="51" t="s">
        <v>49</v>
      </c>
      <c r="U72" s="51">
        <v>2</v>
      </c>
      <c r="V72" s="51">
        <v>8</v>
      </c>
      <c r="W72" s="51">
        <v>1</v>
      </c>
      <c r="X72" s="51" t="s">
        <v>40</v>
      </c>
      <c r="Y72" s="57" t="s">
        <v>41</v>
      </c>
      <c r="Z72" s="58">
        <v>20</v>
      </c>
      <c r="AA72" s="57" t="s">
        <v>219</v>
      </c>
      <c r="AB72" s="59">
        <f t="shared" si="1"/>
        <v>45953</v>
      </c>
    </row>
    <row r="73" spans="1:28" ht="12.75">
      <c r="A73" s="56">
        <v>45954.414565046296</v>
      </c>
      <c r="B73" s="51" t="s">
        <v>221</v>
      </c>
      <c r="C73" s="51" t="s">
        <v>29</v>
      </c>
      <c r="D73" s="51" t="s">
        <v>30</v>
      </c>
      <c r="E73" s="51" t="s">
        <v>31</v>
      </c>
      <c r="F73" s="51" t="s">
        <v>44</v>
      </c>
      <c r="G73" s="51" t="s">
        <v>33</v>
      </c>
      <c r="H73" s="51">
        <v>20</v>
      </c>
      <c r="I73" s="51" t="s">
        <v>34</v>
      </c>
      <c r="J73" s="51" t="s">
        <v>89</v>
      </c>
      <c r="K73" s="51" t="s">
        <v>36</v>
      </c>
      <c r="L73" s="51" t="s">
        <v>74</v>
      </c>
      <c r="M73" s="51">
        <v>1</v>
      </c>
      <c r="N73" s="51">
        <v>1</v>
      </c>
      <c r="O73" s="52">
        <v>0</v>
      </c>
      <c r="P73" s="51">
        <v>0</v>
      </c>
      <c r="Q73" s="51">
        <v>4</v>
      </c>
      <c r="R73" s="51">
        <v>3</v>
      </c>
      <c r="S73" s="57" t="s">
        <v>91</v>
      </c>
      <c r="T73" s="51" t="s">
        <v>49</v>
      </c>
      <c r="U73" s="51">
        <v>1</v>
      </c>
      <c r="V73" s="51">
        <v>10</v>
      </c>
      <c r="W73" s="51">
        <v>1</v>
      </c>
      <c r="X73" s="51" t="s">
        <v>50</v>
      </c>
      <c r="Y73" s="57" t="s">
        <v>41</v>
      </c>
      <c r="Z73" s="58">
        <v>15</v>
      </c>
      <c r="AA73" s="57" t="s">
        <v>195</v>
      </c>
      <c r="AB73" s="59">
        <f t="shared" si="1"/>
        <v>45954</v>
      </c>
    </row>
    <row r="74" spans="1:28" ht="12.75">
      <c r="A74" s="56">
        <v>45954.421074988422</v>
      </c>
      <c r="B74" s="51" t="s">
        <v>222</v>
      </c>
      <c r="C74" s="51" t="s">
        <v>29</v>
      </c>
      <c r="D74" s="51" t="s">
        <v>30</v>
      </c>
      <c r="E74" s="51" t="s">
        <v>31</v>
      </c>
      <c r="F74" s="51" t="s">
        <v>44</v>
      </c>
      <c r="G74" s="51" t="s">
        <v>54</v>
      </c>
      <c r="H74" s="51">
        <v>20</v>
      </c>
      <c r="I74" s="51" t="s">
        <v>34</v>
      </c>
      <c r="J74" s="51" t="s">
        <v>64</v>
      </c>
      <c r="K74" s="51" t="s">
        <v>36</v>
      </c>
      <c r="L74" s="51" t="s">
        <v>68</v>
      </c>
      <c r="M74" s="51">
        <v>2</v>
      </c>
      <c r="N74" s="51">
        <v>2</v>
      </c>
      <c r="O74" s="52">
        <v>1</v>
      </c>
      <c r="P74" s="51">
        <v>0</v>
      </c>
      <c r="Q74" s="51">
        <v>4</v>
      </c>
      <c r="R74" s="51">
        <v>3</v>
      </c>
      <c r="S74" s="57" t="s">
        <v>48</v>
      </c>
      <c r="T74" s="51" t="s">
        <v>39</v>
      </c>
      <c r="U74" s="51">
        <v>4</v>
      </c>
      <c r="V74" s="51">
        <v>10</v>
      </c>
      <c r="W74" s="51">
        <v>2</v>
      </c>
      <c r="X74" s="51" t="s">
        <v>69</v>
      </c>
      <c r="Y74" s="57" t="s">
        <v>201</v>
      </c>
      <c r="Z74" s="58">
        <v>25</v>
      </c>
      <c r="AA74" s="57" t="s">
        <v>139</v>
      </c>
      <c r="AB74" s="59">
        <f t="shared" si="1"/>
        <v>45954</v>
      </c>
    </row>
    <row r="75" spans="1:28" ht="12.75">
      <c r="A75" s="56">
        <v>45954.431507349538</v>
      </c>
      <c r="B75" s="51" t="s">
        <v>223</v>
      </c>
      <c r="C75" s="51" t="s">
        <v>29</v>
      </c>
      <c r="D75" s="51" t="s">
        <v>30</v>
      </c>
      <c r="E75" s="51" t="s">
        <v>31</v>
      </c>
      <c r="F75" s="51" t="s">
        <v>44</v>
      </c>
      <c r="G75" s="51" t="s">
        <v>54</v>
      </c>
      <c r="H75" s="51">
        <v>20</v>
      </c>
      <c r="I75" s="51" t="s">
        <v>99</v>
      </c>
      <c r="J75" s="51" t="s">
        <v>64</v>
      </c>
      <c r="K75" s="51" t="s">
        <v>36</v>
      </c>
      <c r="L75" s="51" t="s">
        <v>68</v>
      </c>
      <c r="M75" s="51">
        <v>1</v>
      </c>
      <c r="N75" s="51">
        <v>1</v>
      </c>
      <c r="O75" s="52">
        <v>0</v>
      </c>
      <c r="P75" s="51">
        <v>0</v>
      </c>
      <c r="Q75" s="51">
        <v>3</v>
      </c>
      <c r="R75" s="51">
        <v>3</v>
      </c>
      <c r="S75" s="57" t="s">
        <v>48</v>
      </c>
      <c r="T75" s="51" t="s">
        <v>49</v>
      </c>
      <c r="U75" s="51">
        <v>5</v>
      </c>
      <c r="V75" s="51">
        <v>8</v>
      </c>
      <c r="W75" s="51">
        <v>2</v>
      </c>
      <c r="X75" s="51" t="s">
        <v>50</v>
      </c>
      <c r="Y75" s="57" t="s">
        <v>166</v>
      </c>
      <c r="Z75" s="58">
        <v>0</v>
      </c>
      <c r="AA75" s="57" t="s">
        <v>157</v>
      </c>
      <c r="AB75" s="59">
        <f t="shared" si="1"/>
        <v>45954</v>
      </c>
    </row>
    <row r="76" spans="1:28" ht="12.75">
      <c r="A76" s="56">
        <v>45954.457464837964</v>
      </c>
      <c r="B76" s="51" t="s">
        <v>224</v>
      </c>
      <c r="C76" s="51" t="s">
        <v>29</v>
      </c>
      <c r="D76" s="51" t="s">
        <v>30</v>
      </c>
      <c r="E76" s="51" t="s">
        <v>31</v>
      </c>
      <c r="F76" s="51" t="s">
        <v>44</v>
      </c>
      <c r="G76" s="51" t="s">
        <v>54</v>
      </c>
      <c r="H76" s="51">
        <v>20</v>
      </c>
      <c r="I76" s="51" t="s">
        <v>34</v>
      </c>
      <c r="J76" s="51" t="s">
        <v>35</v>
      </c>
      <c r="K76" s="51" t="s">
        <v>36</v>
      </c>
      <c r="L76" s="51" t="s">
        <v>37</v>
      </c>
      <c r="M76" s="51">
        <v>3</v>
      </c>
      <c r="N76" s="51">
        <v>3</v>
      </c>
      <c r="O76" s="52">
        <v>4</v>
      </c>
      <c r="P76" s="51">
        <v>1</v>
      </c>
      <c r="Q76" s="51">
        <v>5</v>
      </c>
      <c r="R76" s="51">
        <v>5</v>
      </c>
      <c r="S76" s="57" t="s">
        <v>225</v>
      </c>
      <c r="T76" s="51" t="s">
        <v>39</v>
      </c>
      <c r="U76" s="51">
        <v>4</v>
      </c>
      <c r="V76" s="51">
        <v>10</v>
      </c>
      <c r="W76" s="51">
        <v>3</v>
      </c>
      <c r="X76" s="51" t="s">
        <v>69</v>
      </c>
      <c r="Y76" s="57" t="s">
        <v>133</v>
      </c>
      <c r="Z76" s="58">
        <v>25</v>
      </c>
      <c r="AA76" s="57" t="s">
        <v>57</v>
      </c>
      <c r="AB76" s="59">
        <f t="shared" si="1"/>
        <v>45954</v>
      </c>
    </row>
    <row r="77" spans="1:28" ht="12.75">
      <c r="A77" s="56">
        <v>45954.48195789352</v>
      </c>
      <c r="B77" s="51" t="s">
        <v>226</v>
      </c>
      <c r="C77" s="51" t="s">
        <v>29</v>
      </c>
      <c r="D77" s="51" t="s">
        <v>30</v>
      </c>
      <c r="E77" s="51" t="s">
        <v>31</v>
      </c>
      <c r="F77" s="51" t="s">
        <v>44</v>
      </c>
      <c r="G77" s="51" t="s">
        <v>54</v>
      </c>
      <c r="H77" s="51">
        <v>20</v>
      </c>
      <c r="I77" s="51" t="s">
        <v>45</v>
      </c>
      <c r="J77" s="51" t="s">
        <v>64</v>
      </c>
      <c r="K77" s="51" t="s">
        <v>36</v>
      </c>
      <c r="L77" s="51" t="s">
        <v>68</v>
      </c>
      <c r="M77" s="51">
        <v>3</v>
      </c>
      <c r="N77" s="51">
        <v>3</v>
      </c>
      <c r="O77" s="52">
        <v>2.5</v>
      </c>
      <c r="P77" s="51">
        <v>1</v>
      </c>
      <c r="Q77" s="51">
        <v>5</v>
      </c>
      <c r="R77" s="51">
        <v>4</v>
      </c>
      <c r="S77" s="57" t="s">
        <v>48</v>
      </c>
      <c r="T77" s="51" t="s">
        <v>39</v>
      </c>
      <c r="U77" s="51">
        <v>3</v>
      </c>
      <c r="V77" s="51">
        <v>9</v>
      </c>
      <c r="W77" s="51">
        <v>3</v>
      </c>
      <c r="X77" s="51" t="s">
        <v>50</v>
      </c>
      <c r="Y77" s="57" t="s">
        <v>133</v>
      </c>
      <c r="Z77" s="58">
        <v>15</v>
      </c>
      <c r="AA77" s="57" t="s">
        <v>83</v>
      </c>
      <c r="AB77" s="59">
        <f t="shared" si="1"/>
        <v>45954</v>
      </c>
    </row>
    <row r="78" spans="1:28" ht="12.75">
      <c r="A78" s="56">
        <v>45954.493867453704</v>
      </c>
      <c r="B78" s="51" t="s">
        <v>227</v>
      </c>
      <c r="C78" s="51" t="s">
        <v>29</v>
      </c>
      <c r="D78" s="51" t="s">
        <v>30</v>
      </c>
      <c r="E78" s="51" t="s">
        <v>31</v>
      </c>
      <c r="F78" s="51" t="s">
        <v>44</v>
      </c>
      <c r="G78" s="51" t="s">
        <v>33</v>
      </c>
      <c r="H78" s="51">
        <v>20</v>
      </c>
      <c r="I78" s="51" t="s">
        <v>99</v>
      </c>
      <c r="J78" s="51" t="s">
        <v>46</v>
      </c>
      <c r="K78" s="51" t="s">
        <v>36</v>
      </c>
      <c r="L78" s="51" t="s">
        <v>74</v>
      </c>
      <c r="M78" s="51">
        <v>3</v>
      </c>
      <c r="N78" s="51">
        <v>3</v>
      </c>
      <c r="O78" s="52">
        <v>2</v>
      </c>
      <c r="P78" s="51">
        <v>1</v>
      </c>
      <c r="Q78" s="51">
        <v>5</v>
      </c>
      <c r="R78" s="51">
        <v>5</v>
      </c>
      <c r="S78" s="57" t="s">
        <v>38</v>
      </c>
      <c r="T78" s="51" t="s">
        <v>39</v>
      </c>
      <c r="U78" s="51">
        <v>3</v>
      </c>
      <c r="V78" s="51">
        <v>10</v>
      </c>
      <c r="W78" s="51">
        <v>3</v>
      </c>
      <c r="X78" s="51" t="s">
        <v>50</v>
      </c>
      <c r="Y78" s="57" t="s">
        <v>106</v>
      </c>
      <c r="Z78" s="58">
        <v>20</v>
      </c>
      <c r="AA78" s="57" t="s">
        <v>83</v>
      </c>
      <c r="AB78" s="59">
        <f t="shared" si="1"/>
        <v>45954</v>
      </c>
    </row>
    <row r="79" spans="1:28" ht="12.75">
      <c r="A79" s="56">
        <v>45954.499490740738</v>
      </c>
      <c r="B79" s="51" t="s">
        <v>228</v>
      </c>
      <c r="C79" s="51" t="s">
        <v>29</v>
      </c>
      <c r="D79" s="51" t="s">
        <v>30</v>
      </c>
      <c r="E79" s="51" t="s">
        <v>31</v>
      </c>
      <c r="F79" s="51" t="s">
        <v>44</v>
      </c>
      <c r="G79" s="51" t="s">
        <v>33</v>
      </c>
      <c r="H79" s="51">
        <v>20</v>
      </c>
      <c r="I79" s="51" t="s">
        <v>45</v>
      </c>
      <c r="J79" s="51" t="s">
        <v>89</v>
      </c>
      <c r="K79" s="51" t="s">
        <v>90</v>
      </c>
      <c r="L79" s="51" t="s">
        <v>47</v>
      </c>
      <c r="M79" s="51">
        <v>1</v>
      </c>
      <c r="N79" s="51">
        <v>1</v>
      </c>
      <c r="O79" s="52">
        <v>0</v>
      </c>
      <c r="P79" s="51">
        <v>0</v>
      </c>
      <c r="Q79" s="51">
        <v>3</v>
      </c>
      <c r="R79" s="51">
        <v>2</v>
      </c>
      <c r="S79" s="57" t="s">
        <v>91</v>
      </c>
      <c r="T79" s="51" t="s">
        <v>81</v>
      </c>
      <c r="U79" s="51">
        <v>0</v>
      </c>
      <c r="V79" s="51">
        <v>6</v>
      </c>
      <c r="W79" s="51">
        <v>1</v>
      </c>
      <c r="X79" s="51" t="s">
        <v>40</v>
      </c>
      <c r="Y79" s="57" t="s">
        <v>41</v>
      </c>
      <c r="Z79" s="58">
        <v>0</v>
      </c>
      <c r="AA79" s="57" t="s">
        <v>83</v>
      </c>
      <c r="AB79" s="59">
        <f t="shared" si="1"/>
        <v>45954</v>
      </c>
    </row>
    <row r="80" spans="1:28" ht="12.75">
      <c r="A80" s="56">
        <v>45954.500761469906</v>
      </c>
      <c r="B80" s="51" t="s">
        <v>229</v>
      </c>
      <c r="C80" s="51" t="s">
        <v>29</v>
      </c>
      <c r="D80" s="51" t="s">
        <v>30</v>
      </c>
      <c r="E80" s="51" t="s">
        <v>31</v>
      </c>
      <c r="F80" s="51" t="s">
        <v>44</v>
      </c>
      <c r="G80" s="51" t="s">
        <v>33</v>
      </c>
      <c r="H80" s="51">
        <v>20</v>
      </c>
      <c r="I80" s="51" t="s">
        <v>34</v>
      </c>
      <c r="J80" s="51" t="s">
        <v>89</v>
      </c>
      <c r="K80" s="51" t="s">
        <v>90</v>
      </c>
      <c r="L80" s="51" t="s">
        <v>47</v>
      </c>
      <c r="M80" s="51">
        <v>1</v>
      </c>
      <c r="N80" s="51">
        <v>1</v>
      </c>
      <c r="O80" s="52">
        <v>0</v>
      </c>
      <c r="P80" s="51">
        <v>0</v>
      </c>
      <c r="Q80" s="51">
        <v>3</v>
      </c>
      <c r="R80" s="51">
        <v>2</v>
      </c>
      <c r="S80" s="57" t="s">
        <v>91</v>
      </c>
      <c r="T80" s="51" t="s">
        <v>81</v>
      </c>
      <c r="U80" s="51">
        <v>0</v>
      </c>
      <c r="V80" s="51">
        <v>6</v>
      </c>
      <c r="W80" s="51">
        <v>1</v>
      </c>
      <c r="X80" s="51" t="s">
        <v>50</v>
      </c>
      <c r="Y80" s="57" t="s">
        <v>82</v>
      </c>
      <c r="Z80" s="58">
        <v>0</v>
      </c>
      <c r="AA80" s="57" t="s">
        <v>83</v>
      </c>
      <c r="AB80" s="59">
        <f t="shared" si="1"/>
        <v>45954</v>
      </c>
    </row>
    <row r="81" spans="1:28" ht="12.75">
      <c r="A81" s="56">
        <v>45954.509325300925</v>
      </c>
      <c r="B81" s="51" t="s">
        <v>230</v>
      </c>
      <c r="C81" s="51" t="s">
        <v>29</v>
      </c>
      <c r="D81" s="51" t="s">
        <v>30</v>
      </c>
      <c r="E81" s="51" t="s">
        <v>31</v>
      </c>
      <c r="F81" s="51" t="s">
        <v>44</v>
      </c>
      <c r="G81" s="51" t="s">
        <v>33</v>
      </c>
      <c r="H81" s="51">
        <v>20</v>
      </c>
      <c r="I81" s="51" t="s">
        <v>45</v>
      </c>
      <c r="J81" s="51" t="s">
        <v>46</v>
      </c>
      <c r="K81" s="51" t="s">
        <v>90</v>
      </c>
      <c r="L81" s="51" t="s">
        <v>47</v>
      </c>
      <c r="M81" s="51">
        <v>1</v>
      </c>
      <c r="N81" s="51">
        <v>1</v>
      </c>
      <c r="O81" s="52">
        <v>0</v>
      </c>
      <c r="P81" s="51">
        <v>0</v>
      </c>
      <c r="Q81" s="51">
        <v>3</v>
      </c>
      <c r="R81" s="51">
        <v>2</v>
      </c>
      <c r="S81" s="57" t="s">
        <v>91</v>
      </c>
      <c r="T81" s="51" t="s">
        <v>81</v>
      </c>
      <c r="U81" s="51">
        <v>0</v>
      </c>
      <c r="V81" s="51">
        <v>6</v>
      </c>
      <c r="W81" s="51">
        <v>1</v>
      </c>
      <c r="X81" s="51" t="s">
        <v>40</v>
      </c>
      <c r="Y81" s="57" t="s">
        <v>231</v>
      </c>
      <c r="Z81" s="58">
        <v>0</v>
      </c>
      <c r="AA81" s="57" t="s">
        <v>154</v>
      </c>
      <c r="AB81" s="59">
        <f t="shared" si="1"/>
        <v>45954</v>
      </c>
    </row>
    <row r="82" spans="1:28" ht="12.75">
      <c r="A82" s="56">
        <v>45954.515023437503</v>
      </c>
      <c r="B82" s="51" t="s">
        <v>232</v>
      </c>
      <c r="C82" s="51" t="s">
        <v>29</v>
      </c>
      <c r="D82" s="51" t="s">
        <v>30</v>
      </c>
      <c r="E82" s="51" t="s">
        <v>31</v>
      </c>
      <c r="F82" s="51" t="s">
        <v>44</v>
      </c>
      <c r="G82" s="51" t="s">
        <v>33</v>
      </c>
      <c r="H82" s="51">
        <v>20</v>
      </c>
      <c r="I82" s="51" t="s">
        <v>34</v>
      </c>
      <c r="J82" s="51" t="s">
        <v>46</v>
      </c>
      <c r="K82" s="51" t="s">
        <v>36</v>
      </c>
      <c r="L82" s="51" t="s">
        <v>74</v>
      </c>
      <c r="M82" s="51">
        <v>2</v>
      </c>
      <c r="N82" s="51">
        <v>2</v>
      </c>
      <c r="O82" s="52">
        <v>1</v>
      </c>
      <c r="P82" s="51">
        <v>0</v>
      </c>
      <c r="Q82" s="51">
        <v>4</v>
      </c>
      <c r="R82" s="51">
        <v>4</v>
      </c>
      <c r="S82" s="57" t="s">
        <v>38</v>
      </c>
      <c r="T82" s="51" t="s">
        <v>49</v>
      </c>
      <c r="U82" s="51">
        <v>2</v>
      </c>
      <c r="V82" s="51">
        <v>8</v>
      </c>
      <c r="W82" s="51">
        <v>2</v>
      </c>
      <c r="X82" s="51" t="s">
        <v>50</v>
      </c>
      <c r="Y82" s="57" t="s">
        <v>106</v>
      </c>
      <c r="Z82" s="58">
        <v>10</v>
      </c>
      <c r="AA82" s="57" t="s">
        <v>114</v>
      </c>
      <c r="AB82" s="59">
        <f t="shared" si="1"/>
        <v>45954</v>
      </c>
    </row>
    <row r="83" spans="1:28" ht="12.75">
      <c r="A83" s="56">
        <v>45954.516181631945</v>
      </c>
      <c r="B83" s="51" t="s">
        <v>233</v>
      </c>
      <c r="C83" s="51" t="s">
        <v>29</v>
      </c>
      <c r="D83" s="51" t="s">
        <v>30</v>
      </c>
      <c r="E83" s="51" t="s">
        <v>31</v>
      </c>
      <c r="F83" s="51" t="s">
        <v>44</v>
      </c>
      <c r="G83" s="51" t="s">
        <v>33</v>
      </c>
      <c r="H83" s="51">
        <v>20</v>
      </c>
      <c r="I83" s="51" t="s">
        <v>45</v>
      </c>
      <c r="J83" s="51" t="s">
        <v>89</v>
      </c>
      <c r="K83" s="51" t="s">
        <v>90</v>
      </c>
      <c r="L83" s="51" t="s">
        <v>47</v>
      </c>
      <c r="M83" s="51">
        <v>1</v>
      </c>
      <c r="N83" s="51">
        <v>1</v>
      </c>
      <c r="O83" s="52">
        <v>0</v>
      </c>
      <c r="P83" s="51">
        <v>0</v>
      </c>
      <c r="Q83" s="51">
        <v>3</v>
      </c>
      <c r="R83" s="51">
        <v>2</v>
      </c>
      <c r="S83" s="57" t="s">
        <v>91</v>
      </c>
      <c r="T83" s="51" t="s">
        <v>49</v>
      </c>
      <c r="U83" s="51">
        <v>0</v>
      </c>
      <c r="V83" s="51">
        <v>6</v>
      </c>
      <c r="W83" s="51">
        <v>1</v>
      </c>
      <c r="X83" s="51" t="s">
        <v>40</v>
      </c>
      <c r="Y83" s="57" t="s">
        <v>82</v>
      </c>
      <c r="Z83" s="58">
        <v>0</v>
      </c>
      <c r="AA83" s="57" t="s">
        <v>83</v>
      </c>
      <c r="AB83" s="59">
        <f t="shared" si="1"/>
        <v>45954</v>
      </c>
    </row>
    <row r="84" spans="1:28" ht="12.75">
      <c r="A84" s="56">
        <v>45954.559701851853</v>
      </c>
      <c r="B84" s="51" t="s">
        <v>234</v>
      </c>
      <c r="C84" s="51" t="s">
        <v>29</v>
      </c>
      <c r="D84" s="51" t="s">
        <v>30</v>
      </c>
      <c r="E84" s="51" t="s">
        <v>31</v>
      </c>
      <c r="F84" s="51" t="s">
        <v>44</v>
      </c>
      <c r="G84" s="51" t="s">
        <v>33</v>
      </c>
      <c r="H84" s="51">
        <v>20</v>
      </c>
      <c r="I84" s="51" t="s">
        <v>34</v>
      </c>
      <c r="J84" s="51" t="s">
        <v>89</v>
      </c>
      <c r="K84" s="51" t="s">
        <v>90</v>
      </c>
      <c r="L84" s="51" t="s">
        <v>47</v>
      </c>
      <c r="M84" s="51">
        <v>1</v>
      </c>
      <c r="N84" s="51">
        <v>1</v>
      </c>
      <c r="O84" s="52">
        <v>0</v>
      </c>
      <c r="P84" s="51">
        <v>0</v>
      </c>
      <c r="Q84" s="51">
        <v>3</v>
      </c>
      <c r="R84" s="51">
        <v>2</v>
      </c>
      <c r="S84" s="57" t="s">
        <v>91</v>
      </c>
      <c r="T84" s="51" t="s">
        <v>81</v>
      </c>
      <c r="U84" s="51">
        <v>0</v>
      </c>
      <c r="V84" s="51">
        <v>7</v>
      </c>
      <c r="W84" s="51">
        <v>1</v>
      </c>
      <c r="X84" s="51" t="s">
        <v>40</v>
      </c>
      <c r="Y84" s="57" t="s">
        <v>41</v>
      </c>
      <c r="Z84" s="58">
        <v>0</v>
      </c>
      <c r="AA84" s="57" t="s">
        <v>154</v>
      </c>
      <c r="AB84" s="59">
        <f t="shared" si="1"/>
        <v>45954</v>
      </c>
    </row>
    <row r="85" spans="1:28" ht="12.75">
      <c r="A85" s="56">
        <v>45954.560202638888</v>
      </c>
      <c r="B85" s="51" t="s">
        <v>235</v>
      </c>
      <c r="C85" s="51" t="s">
        <v>29</v>
      </c>
      <c r="D85" s="51" t="s">
        <v>30</v>
      </c>
      <c r="E85" s="51" t="s">
        <v>31</v>
      </c>
      <c r="F85" s="51" t="s">
        <v>44</v>
      </c>
      <c r="G85" s="51" t="s">
        <v>33</v>
      </c>
      <c r="H85" s="51">
        <v>20</v>
      </c>
      <c r="I85" s="51" t="s">
        <v>45</v>
      </c>
      <c r="J85" s="51" t="s">
        <v>89</v>
      </c>
      <c r="K85" s="51" t="s">
        <v>90</v>
      </c>
      <c r="L85" s="51" t="s">
        <v>47</v>
      </c>
      <c r="M85" s="51">
        <v>1</v>
      </c>
      <c r="N85" s="51">
        <v>1</v>
      </c>
      <c r="O85" s="52">
        <v>0</v>
      </c>
      <c r="P85" s="51">
        <v>0</v>
      </c>
      <c r="Q85" s="51">
        <v>3</v>
      </c>
      <c r="R85" s="51">
        <v>2</v>
      </c>
      <c r="S85" s="57" t="s">
        <v>91</v>
      </c>
      <c r="T85" s="51" t="s">
        <v>49</v>
      </c>
      <c r="U85" s="51">
        <v>0</v>
      </c>
      <c r="V85" s="51">
        <v>6</v>
      </c>
      <c r="W85" s="51">
        <v>1</v>
      </c>
      <c r="X85" s="51" t="s">
        <v>40</v>
      </c>
      <c r="Y85" s="57" t="s">
        <v>82</v>
      </c>
      <c r="Z85" s="58">
        <v>0</v>
      </c>
      <c r="AA85" s="57" t="s">
        <v>114</v>
      </c>
      <c r="AB85" s="59">
        <f t="shared" si="1"/>
        <v>45954</v>
      </c>
    </row>
    <row r="86" spans="1:28" ht="12.75">
      <c r="A86" s="56">
        <v>45954.574630659721</v>
      </c>
      <c r="B86" s="51" t="s">
        <v>236</v>
      </c>
      <c r="C86" s="51" t="s">
        <v>29</v>
      </c>
      <c r="D86" s="51" t="s">
        <v>30</v>
      </c>
      <c r="E86" s="51" t="s">
        <v>31</v>
      </c>
      <c r="F86" s="51" t="s">
        <v>44</v>
      </c>
      <c r="G86" s="51" t="s">
        <v>33</v>
      </c>
      <c r="H86" s="51">
        <v>20</v>
      </c>
      <c r="I86" s="51" t="s">
        <v>34</v>
      </c>
      <c r="J86" s="51" t="s">
        <v>89</v>
      </c>
      <c r="K86" s="51" t="s">
        <v>90</v>
      </c>
      <c r="L86" s="51" t="s">
        <v>47</v>
      </c>
      <c r="M86" s="51">
        <v>1</v>
      </c>
      <c r="N86" s="51">
        <v>1</v>
      </c>
      <c r="O86" s="52">
        <v>0</v>
      </c>
      <c r="P86" s="51">
        <v>0</v>
      </c>
      <c r="Q86" s="51">
        <v>3</v>
      </c>
      <c r="R86" s="51">
        <v>2</v>
      </c>
      <c r="S86" s="57" t="s">
        <v>91</v>
      </c>
      <c r="T86" s="51" t="s">
        <v>81</v>
      </c>
      <c r="U86" s="51">
        <v>0</v>
      </c>
      <c r="V86" s="51">
        <v>7</v>
      </c>
      <c r="W86" s="51">
        <v>1</v>
      </c>
      <c r="X86" s="51" t="s">
        <v>40</v>
      </c>
      <c r="Y86" s="57" t="s">
        <v>41</v>
      </c>
      <c r="Z86" s="58">
        <v>0</v>
      </c>
      <c r="AA86" s="57" t="s">
        <v>154</v>
      </c>
      <c r="AB86" s="59">
        <f t="shared" si="1"/>
        <v>45954</v>
      </c>
    </row>
    <row r="87" spans="1:28" ht="12.75">
      <c r="A87" s="56">
        <v>45954.595160648147</v>
      </c>
      <c r="B87" s="51" t="s">
        <v>237</v>
      </c>
      <c r="C87" s="51" t="s">
        <v>29</v>
      </c>
      <c r="D87" s="51" t="s">
        <v>30</v>
      </c>
      <c r="E87" s="51" t="s">
        <v>31</v>
      </c>
      <c r="F87" s="51" t="s">
        <v>44</v>
      </c>
      <c r="G87" s="51" t="s">
        <v>54</v>
      </c>
      <c r="H87" s="51">
        <v>20</v>
      </c>
      <c r="I87" s="51" t="s">
        <v>34</v>
      </c>
      <c r="J87" s="51" t="s">
        <v>79</v>
      </c>
      <c r="K87" s="51" t="s">
        <v>36</v>
      </c>
      <c r="L87" s="51" t="s">
        <v>68</v>
      </c>
      <c r="M87" s="51">
        <v>3</v>
      </c>
      <c r="N87" s="51">
        <v>3</v>
      </c>
      <c r="O87" s="52">
        <v>3</v>
      </c>
      <c r="P87" s="51">
        <v>1</v>
      </c>
      <c r="Q87" s="51">
        <v>5</v>
      </c>
      <c r="R87" s="51">
        <v>5</v>
      </c>
      <c r="S87" s="57" t="s">
        <v>80</v>
      </c>
      <c r="T87" s="51" t="s">
        <v>39</v>
      </c>
      <c r="U87" s="51">
        <v>2</v>
      </c>
      <c r="V87" s="51">
        <v>10</v>
      </c>
      <c r="W87" s="51">
        <v>3</v>
      </c>
      <c r="X87" s="51" t="s">
        <v>69</v>
      </c>
      <c r="Y87" s="57" t="s">
        <v>82</v>
      </c>
      <c r="Z87" s="58">
        <v>25</v>
      </c>
      <c r="AA87" s="57" t="s">
        <v>114</v>
      </c>
      <c r="AB87" s="59">
        <f t="shared" si="1"/>
        <v>45954</v>
      </c>
    </row>
    <row r="88" spans="1:28" ht="12.75">
      <c r="A88" s="56">
        <v>45954.704750775461</v>
      </c>
      <c r="B88" s="51" t="s">
        <v>238</v>
      </c>
      <c r="C88" s="51" t="s">
        <v>29</v>
      </c>
      <c r="D88" s="51" t="s">
        <v>30</v>
      </c>
      <c r="E88" s="51" t="s">
        <v>31</v>
      </c>
      <c r="F88" s="51" t="s">
        <v>32</v>
      </c>
      <c r="G88" s="51" t="s">
        <v>54</v>
      </c>
      <c r="H88" s="51">
        <v>20</v>
      </c>
      <c r="I88" s="51" t="s">
        <v>34</v>
      </c>
      <c r="J88" s="51" t="s">
        <v>46</v>
      </c>
      <c r="K88" s="51" t="s">
        <v>36</v>
      </c>
      <c r="L88" s="51" t="s">
        <v>37</v>
      </c>
      <c r="M88" s="51">
        <v>1</v>
      </c>
      <c r="N88" s="51">
        <v>1</v>
      </c>
      <c r="O88" s="52">
        <v>1.5</v>
      </c>
      <c r="P88" s="51">
        <v>0</v>
      </c>
      <c r="Q88" s="51">
        <v>3</v>
      </c>
      <c r="R88" s="51">
        <v>2</v>
      </c>
      <c r="S88" s="57" t="s">
        <v>55</v>
      </c>
      <c r="T88" s="51" t="s">
        <v>49</v>
      </c>
      <c r="U88" s="51">
        <v>4</v>
      </c>
      <c r="V88" s="51">
        <v>10</v>
      </c>
      <c r="W88" s="51">
        <v>2</v>
      </c>
      <c r="X88" s="51" t="s">
        <v>50</v>
      </c>
      <c r="Y88" s="57" t="s">
        <v>95</v>
      </c>
      <c r="Z88" s="58">
        <v>10</v>
      </c>
      <c r="AA88" s="57" t="s">
        <v>190</v>
      </c>
      <c r="AB88" s="59">
        <f t="shared" si="1"/>
        <v>45954</v>
      </c>
    </row>
    <row r="89" spans="1:28" ht="12.75">
      <c r="A89" s="56">
        <v>45954.708664861115</v>
      </c>
      <c r="B89" s="51" t="s">
        <v>239</v>
      </c>
      <c r="C89" s="51" t="s">
        <v>29</v>
      </c>
      <c r="D89" s="51" t="s">
        <v>30</v>
      </c>
      <c r="E89" s="51" t="s">
        <v>31</v>
      </c>
      <c r="F89" s="51" t="s">
        <v>44</v>
      </c>
      <c r="G89" s="51" t="s">
        <v>33</v>
      </c>
      <c r="H89" s="51">
        <v>20</v>
      </c>
      <c r="I89" s="51" t="s">
        <v>45</v>
      </c>
      <c r="J89" s="51" t="s">
        <v>89</v>
      </c>
      <c r="K89" s="51" t="s">
        <v>90</v>
      </c>
      <c r="L89" s="51" t="s">
        <v>47</v>
      </c>
      <c r="M89" s="51">
        <v>1</v>
      </c>
      <c r="N89" s="51">
        <v>1</v>
      </c>
      <c r="O89" s="52">
        <v>0</v>
      </c>
      <c r="P89" s="51">
        <v>0</v>
      </c>
      <c r="Q89" s="51">
        <v>3</v>
      </c>
      <c r="R89" s="51">
        <v>2</v>
      </c>
      <c r="S89" s="57" t="s">
        <v>91</v>
      </c>
      <c r="T89" s="51" t="s">
        <v>81</v>
      </c>
      <c r="U89" s="51">
        <v>1</v>
      </c>
      <c r="V89" s="51">
        <v>8</v>
      </c>
      <c r="W89" s="51">
        <v>2</v>
      </c>
      <c r="X89" s="51" t="s">
        <v>40</v>
      </c>
      <c r="Y89" s="57" t="s">
        <v>41</v>
      </c>
      <c r="Z89" s="58">
        <v>0</v>
      </c>
      <c r="AA89" s="57" t="s">
        <v>154</v>
      </c>
      <c r="AB89" s="59">
        <f t="shared" si="1"/>
        <v>45954</v>
      </c>
    </row>
    <row r="90" spans="1:28" ht="12.75">
      <c r="A90" s="56">
        <v>45954.718020104163</v>
      </c>
      <c r="B90" s="51" t="s">
        <v>240</v>
      </c>
      <c r="C90" s="51" t="s">
        <v>29</v>
      </c>
      <c r="D90" s="51" t="s">
        <v>30</v>
      </c>
      <c r="E90" s="51" t="s">
        <v>31</v>
      </c>
      <c r="F90" s="51" t="s">
        <v>32</v>
      </c>
      <c r="G90" s="51" t="s">
        <v>54</v>
      </c>
      <c r="H90" s="51">
        <v>20</v>
      </c>
      <c r="I90" s="51" t="s">
        <v>34</v>
      </c>
      <c r="J90" s="51" t="s">
        <v>64</v>
      </c>
      <c r="K90" s="51" t="s">
        <v>36</v>
      </c>
      <c r="L90" s="51" t="s">
        <v>74</v>
      </c>
      <c r="M90" s="51">
        <v>2</v>
      </c>
      <c r="N90" s="51">
        <v>2</v>
      </c>
      <c r="O90" s="52">
        <v>3</v>
      </c>
      <c r="P90" s="51">
        <v>2</v>
      </c>
      <c r="Q90" s="51">
        <v>4</v>
      </c>
      <c r="R90" s="51">
        <v>5</v>
      </c>
      <c r="S90" s="57" t="s">
        <v>127</v>
      </c>
      <c r="T90" s="51" t="s">
        <v>39</v>
      </c>
      <c r="U90" s="51">
        <v>0</v>
      </c>
      <c r="V90" s="51">
        <v>10</v>
      </c>
      <c r="W90" s="51">
        <v>4</v>
      </c>
      <c r="X90" s="51" t="s">
        <v>40</v>
      </c>
      <c r="Y90" s="57" t="s">
        <v>241</v>
      </c>
      <c r="Z90" s="58">
        <v>15</v>
      </c>
      <c r="AA90" s="57" t="s">
        <v>242</v>
      </c>
      <c r="AB90" s="59">
        <f t="shared" si="1"/>
        <v>45954</v>
      </c>
    </row>
    <row r="91" spans="1:28" ht="12.75">
      <c r="A91" s="56">
        <v>45954.75221737269</v>
      </c>
      <c r="B91" s="51" t="s">
        <v>243</v>
      </c>
      <c r="C91" s="51" t="s">
        <v>29</v>
      </c>
      <c r="D91" s="51" t="s">
        <v>30</v>
      </c>
      <c r="E91" s="51" t="s">
        <v>31</v>
      </c>
      <c r="F91" s="51" t="s">
        <v>85</v>
      </c>
      <c r="G91" s="51" t="s">
        <v>54</v>
      </c>
      <c r="H91" s="51">
        <v>20</v>
      </c>
      <c r="I91" s="51" t="s">
        <v>34</v>
      </c>
      <c r="J91" s="51" t="s">
        <v>64</v>
      </c>
      <c r="K91" s="51" t="s">
        <v>36</v>
      </c>
      <c r="L91" s="51" t="s">
        <v>74</v>
      </c>
      <c r="M91" s="51">
        <v>2</v>
      </c>
      <c r="N91" s="51">
        <v>1</v>
      </c>
      <c r="O91" s="52">
        <v>1</v>
      </c>
      <c r="P91" s="51">
        <v>0</v>
      </c>
      <c r="Q91" s="51">
        <v>4</v>
      </c>
      <c r="R91" s="51">
        <v>3</v>
      </c>
      <c r="S91" s="57" t="s">
        <v>141</v>
      </c>
      <c r="T91" s="51" t="s">
        <v>39</v>
      </c>
      <c r="U91" s="51">
        <v>2</v>
      </c>
      <c r="V91" s="51">
        <v>9</v>
      </c>
      <c r="W91" s="51">
        <v>3</v>
      </c>
      <c r="X91" s="51" t="s">
        <v>50</v>
      </c>
      <c r="Y91" s="57" t="s">
        <v>95</v>
      </c>
      <c r="Z91" s="58">
        <v>70</v>
      </c>
      <c r="AA91" s="57" t="s">
        <v>104</v>
      </c>
      <c r="AB91" s="59">
        <f t="shared" si="1"/>
        <v>45954</v>
      </c>
    </row>
    <row r="92" spans="1:28" ht="12.75">
      <c r="A92" s="56">
        <v>45954.758239016199</v>
      </c>
      <c r="B92" s="51" t="s">
        <v>244</v>
      </c>
      <c r="C92" s="51" t="s">
        <v>29</v>
      </c>
      <c r="D92" s="51" t="s">
        <v>30</v>
      </c>
      <c r="E92" s="51" t="s">
        <v>31</v>
      </c>
      <c r="F92" s="51" t="s">
        <v>44</v>
      </c>
      <c r="G92" s="51" t="s">
        <v>33</v>
      </c>
      <c r="H92" s="51">
        <v>20</v>
      </c>
      <c r="I92" s="51" t="s">
        <v>34</v>
      </c>
      <c r="J92" s="51" t="s">
        <v>46</v>
      </c>
      <c r="K92" s="51" t="s">
        <v>36</v>
      </c>
      <c r="L92" s="51" t="s">
        <v>74</v>
      </c>
      <c r="M92" s="51">
        <v>2</v>
      </c>
      <c r="N92" s="51">
        <v>2</v>
      </c>
      <c r="O92" s="52">
        <v>1</v>
      </c>
      <c r="P92" s="51">
        <v>0</v>
      </c>
      <c r="Q92" s="51">
        <v>4</v>
      </c>
      <c r="R92" s="51">
        <v>3</v>
      </c>
      <c r="S92" s="57" t="s">
        <v>141</v>
      </c>
      <c r="T92" s="51" t="s">
        <v>49</v>
      </c>
      <c r="U92" s="51">
        <v>1</v>
      </c>
      <c r="V92" s="51">
        <v>8</v>
      </c>
      <c r="W92" s="51">
        <v>2</v>
      </c>
      <c r="X92" s="51" t="s">
        <v>50</v>
      </c>
      <c r="Y92" s="57" t="s">
        <v>41</v>
      </c>
      <c r="Z92" s="58">
        <v>10</v>
      </c>
      <c r="AA92" s="57" t="s">
        <v>83</v>
      </c>
      <c r="AB92" s="59">
        <f t="shared" si="1"/>
        <v>45954</v>
      </c>
    </row>
    <row r="93" spans="1:28" ht="12.75">
      <c r="A93" s="56">
        <v>45954.785744340275</v>
      </c>
      <c r="B93" s="51" t="s">
        <v>245</v>
      </c>
      <c r="C93" s="51" t="s">
        <v>29</v>
      </c>
      <c r="D93" s="51" t="s">
        <v>30</v>
      </c>
      <c r="E93" s="51" t="s">
        <v>31</v>
      </c>
      <c r="F93" s="51" t="s">
        <v>85</v>
      </c>
      <c r="G93" s="51" t="s">
        <v>54</v>
      </c>
      <c r="H93" s="51">
        <v>20</v>
      </c>
      <c r="I93" s="51" t="s">
        <v>34</v>
      </c>
      <c r="J93" s="51" t="s">
        <v>64</v>
      </c>
      <c r="K93" s="51" t="s">
        <v>90</v>
      </c>
      <c r="L93" s="51" t="s">
        <v>47</v>
      </c>
      <c r="M93" s="51">
        <v>1</v>
      </c>
      <c r="N93" s="51">
        <v>1</v>
      </c>
      <c r="O93" s="52">
        <v>0</v>
      </c>
      <c r="P93" s="51">
        <v>0</v>
      </c>
      <c r="Q93" s="51">
        <v>1</v>
      </c>
      <c r="R93" s="51">
        <v>1</v>
      </c>
      <c r="S93" s="57" t="s">
        <v>246</v>
      </c>
      <c r="T93" s="51" t="s">
        <v>81</v>
      </c>
      <c r="U93" s="51">
        <v>1</v>
      </c>
      <c r="V93" s="51">
        <v>5</v>
      </c>
      <c r="W93" s="51">
        <v>1</v>
      </c>
      <c r="X93" s="51" t="s">
        <v>60</v>
      </c>
      <c r="Y93" s="57" t="s">
        <v>247</v>
      </c>
      <c r="Z93" s="58">
        <v>0</v>
      </c>
      <c r="AA93" s="57" t="s">
        <v>247</v>
      </c>
      <c r="AB93" s="59">
        <f t="shared" si="1"/>
        <v>45954</v>
      </c>
    </row>
    <row r="94" spans="1:28" ht="12.75">
      <c r="A94" s="56">
        <v>45954.797161770832</v>
      </c>
      <c r="B94" s="51" t="s">
        <v>248</v>
      </c>
      <c r="C94" s="51" t="s">
        <v>29</v>
      </c>
      <c r="D94" s="51" t="s">
        <v>30</v>
      </c>
      <c r="E94" s="51" t="s">
        <v>31</v>
      </c>
      <c r="F94" s="51" t="s">
        <v>85</v>
      </c>
      <c r="G94" s="51" t="s">
        <v>33</v>
      </c>
      <c r="H94" s="51">
        <v>20</v>
      </c>
      <c r="I94" s="51" t="s">
        <v>34</v>
      </c>
      <c r="J94" s="51" t="s">
        <v>79</v>
      </c>
      <c r="K94" s="51" t="s">
        <v>36</v>
      </c>
      <c r="L94" s="51" t="s">
        <v>68</v>
      </c>
      <c r="M94" s="51">
        <v>4</v>
      </c>
      <c r="N94" s="51">
        <v>3</v>
      </c>
      <c r="O94" s="52">
        <v>32</v>
      </c>
      <c r="P94" s="51">
        <v>3</v>
      </c>
      <c r="Q94" s="51">
        <v>3</v>
      </c>
      <c r="R94" s="51">
        <v>2</v>
      </c>
      <c r="S94" s="57" t="s">
        <v>249</v>
      </c>
      <c r="T94" s="51" t="s">
        <v>49</v>
      </c>
      <c r="U94" s="51">
        <v>5</v>
      </c>
      <c r="V94" s="51">
        <v>10</v>
      </c>
      <c r="W94" s="51">
        <v>3</v>
      </c>
      <c r="X94" s="51" t="s">
        <v>40</v>
      </c>
      <c r="Y94" s="57" t="s">
        <v>95</v>
      </c>
      <c r="Z94" s="58">
        <v>0</v>
      </c>
      <c r="AA94" s="57" t="s">
        <v>250</v>
      </c>
      <c r="AB94" s="59">
        <f t="shared" si="1"/>
        <v>45954</v>
      </c>
    </row>
    <row r="95" spans="1:28" ht="12.75">
      <c r="A95" s="56">
        <v>45954.798415115743</v>
      </c>
      <c r="B95" s="51" t="s">
        <v>251</v>
      </c>
      <c r="C95" s="51" t="s">
        <v>29</v>
      </c>
      <c r="D95" s="51" t="s">
        <v>30</v>
      </c>
      <c r="E95" s="51" t="s">
        <v>31</v>
      </c>
      <c r="F95" s="51" t="s">
        <v>85</v>
      </c>
      <c r="G95" s="51" t="s">
        <v>54</v>
      </c>
      <c r="H95" s="51">
        <v>20</v>
      </c>
      <c r="I95" s="51" t="s">
        <v>34</v>
      </c>
      <c r="J95" s="51" t="s">
        <v>79</v>
      </c>
      <c r="K95" s="51" t="s">
        <v>36</v>
      </c>
      <c r="L95" s="51" t="s">
        <v>68</v>
      </c>
      <c r="M95" s="51">
        <v>3</v>
      </c>
      <c r="N95" s="51">
        <v>3</v>
      </c>
      <c r="O95" s="52">
        <v>28</v>
      </c>
      <c r="P95" s="51">
        <v>2</v>
      </c>
      <c r="Q95" s="51">
        <v>3</v>
      </c>
      <c r="R95" s="51">
        <v>2</v>
      </c>
      <c r="S95" s="57" t="s">
        <v>141</v>
      </c>
      <c r="T95" s="51" t="s">
        <v>49</v>
      </c>
      <c r="U95" s="51">
        <v>3</v>
      </c>
      <c r="V95" s="51">
        <v>9</v>
      </c>
      <c r="W95" s="51">
        <v>2</v>
      </c>
      <c r="X95" s="51" t="s">
        <v>40</v>
      </c>
      <c r="Y95" s="57" t="s">
        <v>166</v>
      </c>
      <c r="Z95" s="58">
        <v>0</v>
      </c>
      <c r="AA95" s="57" t="s">
        <v>252</v>
      </c>
      <c r="AB95" s="59">
        <f t="shared" si="1"/>
        <v>45954</v>
      </c>
    </row>
    <row r="96" spans="1:28" ht="12.75">
      <c r="A96" s="56">
        <v>45954.832549560189</v>
      </c>
      <c r="B96" s="51" t="s">
        <v>253</v>
      </c>
      <c r="C96" s="51" t="s">
        <v>29</v>
      </c>
      <c r="D96" s="51" t="s">
        <v>30</v>
      </c>
      <c r="E96" s="51" t="s">
        <v>31</v>
      </c>
      <c r="F96" s="51" t="s">
        <v>85</v>
      </c>
      <c r="G96" s="51" t="s">
        <v>54</v>
      </c>
      <c r="H96" s="51">
        <v>20</v>
      </c>
      <c r="I96" s="51" t="s">
        <v>34</v>
      </c>
      <c r="J96" s="51" t="s">
        <v>64</v>
      </c>
      <c r="K96" s="51" t="s">
        <v>36</v>
      </c>
      <c r="L96" s="51" t="s">
        <v>74</v>
      </c>
      <c r="M96" s="51">
        <v>1</v>
      </c>
      <c r="N96" s="51">
        <v>1</v>
      </c>
      <c r="O96" s="52">
        <v>1</v>
      </c>
      <c r="P96" s="51">
        <v>0</v>
      </c>
      <c r="Q96" s="51">
        <v>1</v>
      </c>
      <c r="R96" s="51">
        <v>1</v>
      </c>
      <c r="S96" s="57" t="s">
        <v>80</v>
      </c>
      <c r="T96" s="51" t="s">
        <v>81</v>
      </c>
      <c r="U96" s="51">
        <v>3</v>
      </c>
      <c r="V96" s="51">
        <v>9</v>
      </c>
      <c r="W96" s="51">
        <v>2</v>
      </c>
      <c r="X96" s="51" t="s">
        <v>40</v>
      </c>
      <c r="Y96" s="57" t="s">
        <v>201</v>
      </c>
      <c r="Z96" s="58">
        <v>0</v>
      </c>
      <c r="AA96" s="57" t="s">
        <v>254</v>
      </c>
      <c r="AB96" s="59">
        <f t="shared" si="1"/>
        <v>45954</v>
      </c>
    </row>
    <row r="97" spans="1:28" ht="12.75">
      <c r="A97" s="56">
        <v>45954.867043854167</v>
      </c>
      <c r="B97" s="51" t="s">
        <v>255</v>
      </c>
      <c r="C97" s="51" t="s">
        <v>29</v>
      </c>
      <c r="D97" s="51" t="s">
        <v>30</v>
      </c>
      <c r="E97" s="51" t="s">
        <v>31</v>
      </c>
      <c r="F97" s="51" t="s">
        <v>85</v>
      </c>
      <c r="G97" s="51" t="s">
        <v>33</v>
      </c>
      <c r="H97" s="51">
        <v>20</v>
      </c>
      <c r="I97" s="51" t="s">
        <v>34</v>
      </c>
      <c r="J97" s="51" t="s">
        <v>64</v>
      </c>
      <c r="K97" s="51" t="s">
        <v>90</v>
      </c>
      <c r="L97" s="51" t="s">
        <v>47</v>
      </c>
      <c r="M97" s="51">
        <v>1</v>
      </c>
      <c r="N97" s="51">
        <v>1</v>
      </c>
      <c r="O97" s="52">
        <v>0</v>
      </c>
      <c r="P97" s="51">
        <v>0</v>
      </c>
      <c r="Q97" s="51">
        <v>1</v>
      </c>
      <c r="R97" s="51">
        <v>1</v>
      </c>
      <c r="S97" s="57" t="s">
        <v>192</v>
      </c>
      <c r="T97" s="51" t="s">
        <v>81</v>
      </c>
      <c r="U97" s="51">
        <v>0</v>
      </c>
      <c r="V97" s="51">
        <v>9</v>
      </c>
      <c r="W97" s="51">
        <v>1</v>
      </c>
      <c r="X97" s="51" t="s">
        <v>40</v>
      </c>
      <c r="Y97" s="57" t="s">
        <v>41</v>
      </c>
      <c r="Z97" s="58">
        <v>0</v>
      </c>
      <c r="AA97" s="57" t="s">
        <v>83</v>
      </c>
      <c r="AB97" s="59">
        <f t="shared" si="1"/>
        <v>45954</v>
      </c>
    </row>
    <row r="98" spans="1:28" ht="12.75">
      <c r="A98" s="56">
        <v>45954.877967210647</v>
      </c>
      <c r="B98" s="51" t="s">
        <v>256</v>
      </c>
      <c r="C98" s="51" t="s">
        <v>29</v>
      </c>
      <c r="D98" s="51" t="s">
        <v>30</v>
      </c>
      <c r="E98" s="51" t="s">
        <v>31</v>
      </c>
      <c r="F98" s="51" t="s">
        <v>32</v>
      </c>
      <c r="G98" s="51" t="s">
        <v>33</v>
      </c>
      <c r="H98" s="51">
        <v>20</v>
      </c>
      <c r="I98" s="51" t="s">
        <v>34</v>
      </c>
      <c r="J98" s="51" t="s">
        <v>64</v>
      </c>
      <c r="K98" s="51" t="s">
        <v>36</v>
      </c>
      <c r="L98" s="51" t="s">
        <v>68</v>
      </c>
      <c r="M98" s="51">
        <v>2</v>
      </c>
      <c r="N98" s="51">
        <v>3</v>
      </c>
      <c r="O98" s="52">
        <v>2</v>
      </c>
      <c r="P98" s="51">
        <v>1</v>
      </c>
      <c r="Q98" s="51">
        <v>3</v>
      </c>
      <c r="R98" s="51">
        <v>5</v>
      </c>
      <c r="S98" s="57" t="s">
        <v>132</v>
      </c>
      <c r="T98" s="51" t="s">
        <v>49</v>
      </c>
      <c r="U98" s="51">
        <v>5</v>
      </c>
      <c r="V98" s="51">
        <v>10</v>
      </c>
      <c r="W98" s="51">
        <v>1</v>
      </c>
      <c r="X98" s="51" t="s">
        <v>50</v>
      </c>
      <c r="Y98" s="57" t="s">
        <v>95</v>
      </c>
      <c r="Z98" s="58">
        <v>25</v>
      </c>
      <c r="AA98" s="57" t="s">
        <v>213</v>
      </c>
      <c r="AB98" s="59">
        <f t="shared" si="1"/>
        <v>45954</v>
      </c>
    </row>
    <row r="99" spans="1:28" ht="12.75">
      <c r="A99" s="56">
        <v>45954.87927237268</v>
      </c>
      <c r="B99" s="51" t="s">
        <v>257</v>
      </c>
      <c r="C99" s="51" t="s">
        <v>29</v>
      </c>
      <c r="D99" s="51" t="s">
        <v>30</v>
      </c>
      <c r="E99" s="51" t="s">
        <v>31</v>
      </c>
      <c r="F99" s="51" t="s">
        <v>32</v>
      </c>
      <c r="G99" s="51" t="s">
        <v>54</v>
      </c>
      <c r="H99" s="51">
        <v>20</v>
      </c>
      <c r="I99" s="51" t="s">
        <v>34</v>
      </c>
      <c r="J99" s="51" t="s">
        <v>64</v>
      </c>
      <c r="K99" s="51" t="s">
        <v>36</v>
      </c>
      <c r="L99" s="51" t="s">
        <v>74</v>
      </c>
      <c r="M99" s="51">
        <v>1</v>
      </c>
      <c r="N99" s="51">
        <v>4</v>
      </c>
      <c r="O99" s="52">
        <v>6</v>
      </c>
      <c r="P99" s="51">
        <v>1</v>
      </c>
      <c r="Q99" s="51">
        <v>5</v>
      </c>
      <c r="R99" s="51">
        <v>5</v>
      </c>
      <c r="S99" s="57" t="s">
        <v>101</v>
      </c>
      <c r="T99" s="51" t="s">
        <v>39</v>
      </c>
      <c r="U99" s="51">
        <v>4</v>
      </c>
      <c r="V99" s="51">
        <v>10</v>
      </c>
      <c r="W99" s="51">
        <v>3</v>
      </c>
      <c r="X99" s="51" t="s">
        <v>50</v>
      </c>
      <c r="Y99" s="57" t="s">
        <v>106</v>
      </c>
      <c r="Z99" s="58">
        <v>30</v>
      </c>
      <c r="AA99" s="57" t="s">
        <v>147</v>
      </c>
      <c r="AB99" s="59">
        <f t="shared" si="1"/>
        <v>45954</v>
      </c>
    </row>
    <row r="100" spans="1:28" ht="12.75">
      <c r="A100" s="56">
        <v>45954.886112650463</v>
      </c>
      <c r="B100" s="51" t="s">
        <v>258</v>
      </c>
      <c r="C100" s="51" t="s">
        <v>29</v>
      </c>
      <c r="D100" s="51" t="s">
        <v>30</v>
      </c>
      <c r="E100" s="51" t="s">
        <v>31</v>
      </c>
      <c r="F100" s="51" t="s">
        <v>32</v>
      </c>
      <c r="G100" s="51" t="s">
        <v>54</v>
      </c>
      <c r="H100" s="51">
        <v>20</v>
      </c>
      <c r="I100" s="51" t="s">
        <v>99</v>
      </c>
      <c r="J100" s="51" t="s">
        <v>64</v>
      </c>
      <c r="K100" s="51" t="s">
        <v>90</v>
      </c>
      <c r="L100" s="51" t="s">
        <v>47</v>
      </c>
      <c r="M100" s="51">
        <v>1</v>
      </c>
      <c r="N100" s="51">
        <v>1</v>
      </c>
      <c r="O100" s="52">
        <v>0</v>
      </c>
      <c r="P100" s="51">
        <v>0</v>
      </c>
      <c r="Q100" s="51">
        <v>5</v>
      </c>
      <c r="R100" s="51">
        <v>5</v>
      </c>
      <c r="S100" s="57" t="s">
        <v>259</v>
      </c>
      <c r="T100" s="51" t="s">
        <v>94</v>
      </c>
      <c r="U100" s="51">
        <v>1</v>
      </c>
      <c r="V100" s="51">
        <v>10</v>
      </c>
      <c r="W100" s="51">
        <v>1</v>
      </c>
      <c r="X100" s="51" t="s">
        <v>69</v>
      </c>
      <c r="Y100" s="57" t="s">
        <v>95</v>
      </c>
      <c r="Z100" s="58">
        <v>40</v>
      </c>
      <c r="AA100" s="57" t="s">
        <v>260</v>
      </c>
      <c r="AB100" s="59">
        <f t="shared" si="1"/>
        <v>45954</v>
      </c>
    </row>
    <row r="101" spans="1:28" ht="12.75">
      <c r="A101" s="56">
        <v>45954.890361898149</v>
      </c>
      <c r="B101" s="51" t="s">
        <v>261</v>
      </c>
      <c r="C101" s="51" t="s">
        <v>29</v>
      </c>
      <c r="D101" s="51" t="s">
        <v>30</v>
      </c>
      <c r="E101" s="51" t="s">
        <v>31</v>
      </c>
      <c r="F101" s="51" t="s">
        <v>85</v>
      </c>
      <c r="G101" s="51" t="s">
        <v>54</v>
      </c>
      <c r="H101" s="51">
        <v>20</v>
      </c>
      <c r="I101" s="51" t="s">
        <v>34</v>
      </c>
      <c r="J101" s="51" t="s">
        <v>46</v>
      </c>
      <c r="K101" s="51" t="s">
        <v>36</v>
      </c>
      <c r="L101" s="51" t="s">
        <v>100</v>
      </c>
      <c r="M101" s="51">
        <v>2</v>
      </c>
      <c r="N101" s="51">
        <v>2</v>
      </c>
      <c r="O101" s="52">
        <v>1</v>
      </c>
      <c r="P101" s="51">
        <v>1</v>
      </c>
      <c r="Q101" s="51">
        <v>1</v>
      </c>
      <c r="R101" s="51">
        <v>1</v>
      </c>
      <c r="S101" s="57" t="s">
        <v>48</v>
      </c>
      <c r="T101" s="51" t="s">
        <v>81</v>
      </c>
      <c r="U101" s="51">
        <v>0</v>
      </c>
      <c r="V101" s="51">
        <v>8</v>
      </c>
      <c r="W101" s="51">
        <v>3</v>
      </c>
      <c r="X101" s="51" t="s">
        <v>40</v>
      </c>
      <c r="Y101" s="57" t="s">
        <v>262</v>
      </c>
      <c r="Z101" s="58">
        <v>0</v>
      </c>
      <c r="AA101" s="57" t="s">
        <v>147</v>
      </c>
      <c r="AB101" s="59">
        <f t="shared" si="1"/>
        <v>45954</v>
      </c>
    </row>
    <row r="102" spans="1:28" ht="12.75">
      <c r="A102" s="56">
        <v>45954.896223715274</v>
      </c>
      <c r="B102" s="51" t="s">
        <v>263</v>
      </c>
      <c r="C102" s="51" t="s">
        <v>29</v>
      </c>
      <c r="D102" s="51" t="s">
        <v>30</v>
      </c>
      <c r="E102" s="51" t="s">
        <v>31</v>
      </c>
      <c r="F102" s="51" t="s">
        <v>32</v>
      </c>
      <c r="G102" s="51" t="s">
        <v>54</v>
      </c>
      <c r="H102" s="51">
        <v>20</v>
      </c>
      <c r="I102" s="51" t="s">
        <v>45</v>
      </c>
      <c r="J102" s="51" t="s">
        <v>64</v>
      </c>
      <c r="K102" s="51" t="s">
        <v>90</v>
      </c>
      <c r="L102" s="51" t="s">
        <v>47</v>
      </c>
      <c r="M102" s="51">
        <v>1</v>
      </c>
      <c r="N102" s="51">
        <v>1</v>
      </c>
      <c r="O102" s="52">
        <v>0</v>
      </c>
      <c r="P102" s="51">
        <v>0</v>
      </c>
      <c r="Q102" s="51">
        <v>1</v>
      </c>
      <c r="R102" s="51">
        <v>1</v>
      </c>
      <c r="S102" s="57" t="s">
        <v>180</v>
      </c>
      <c r="T102" s="51" t="s">
        <v>81</v>
      </c>
      <c r="U102" s="51">
        <v>0</v>
      </c>
      <c r="V102" s="51">
        <v>2</v>
      </c>
      <c r="W102" s="51">
        <v>1</v>
      </c>
      <c r="X102" s="51" t="s">
        <v>60</v>
      </c>
      <c r="Y102" s="57" t="s">
        <v>188</v>
      </c>
      <c r="Z102" s="58">
        <v>0</v>
      </c>
      <c r="AA102" s="57" t="s">
        <v>180</v>
      </c>
      <c r="AB102" s="59">
        <f t="shared" si="1"/>
        <v>45954</v>
      </c>
    </row>
    <row r="103" spans="1:28" ht="12.75">
      <c r="A103" s="56">
        <v>45954.912949826394</v>
      </c>
      <c r="B103" s="51" t="s">
        <v>264</v>
      </c>
      <c r="C103" s="51" t="s">
        <v>29</v>
      </c>
      <c r="D103" s="51" t="s">
        <v>30</v>
      </c>
      <c r="E103" s="51" t="s">
        <v>31</v>
      </c>
      <c r="F103" s="51" t="s">
        <v>32</v>
      </c>
      <c r="G103" s="51" t="s">
        <v>33</v>
      </c>
      <c r="H103" s="51">
        <v>20</v>
      </c>
      <c r="I103" s="51" t="s">
        <v>34</v>
      </c>
      <c r="J103" s="51" t="s">
        <v>64</v>
      </c>
      <c r="K103" s="51" t="s">
        <v>36</v>
      </c>
      <c r="L103" s="51" t="s">
        <v>74</v>
      </c>
      <c r="M103" s="51">
        <v>1</v>
      </c>
      <c r="N103" s="51">
        <v>1</v>
      </c>
      <c r="O103" s="52">
        <v>0.5</v>
      </c>
      <c r="P103" s="51">
        <v>0</v>
      </c>
      <c r="Q103" s="51">
        <v>3</v>
      </c>
      <c r="R103" s="51">
        <v>2</v>
      </c>
      <c r="S103" s="57" t="s">
        <v>125</v>
      </c>
      <c r="T103" s="51" t="s">
        <v>49</v>
      </c>
      <c r="U103" s="51">
        <v>1</v>
      </c>
      <c r="V103" s="51">
        <v>10</v>
      </c>
      <c r="W103" s="51">
        <v>1</v>
      </c>
      <c r="X103" s="51" t="s">
        <v>50</v>
      </c>
      <c r="Y103" s="57" t="s">
        <v>262</v>
      </c>
      <c r="Z103" s="58">
        <v>0</v>
      </c>
      <c r="AA103" s="57" t="s">
        <v>202</v>
      </c>
      <c r="AB103" s="59">
        <f t="shared" si="1"/>
        <v>45954</v>
      </c>
    </row>
    <row r="104" spans="1:28" ht="12.75">
      <c r="A104" s="56">
        <v>45954.913485254627</v>
      </c>
      <c r="B104" s="51" t="s">
        <v>265</v>
      </c>
      <c r="C104" s="51" t="s">
        <v>29</v>
      </c>
      <c r="D104" s="51" t="s">
        <v>30</v>
      </c>
      <c r="E104" s="51" t="s">
        <v>31</v>
      </c>
      <c r="F104" s="51" t="s">
        <v>85</v>
      </c>
      <c r="G104" s="51" t="s">
        <v>54</v>
      </c>
      <c r="H104" s="51">
        <v>20</v>
      </c>
      <c r="I104" s="51" t="s">
        <v>34</v>
      </c>
      <c r="J104" s="51" t="s">
        <v>64</v>
      </c>
      <c r="K104" s="51" t="s">
        <v>36</v>
      </c>
      <c r="L104" s="51" t="s">
        <v>68</v>
      </c>
      <c r="M104" s="51">
        <v>4</v>
      </c>
      <c r="N104" s="51">
        <v>3</v>
      </c>
      <c r="O104" s="52">
        <v>1</v>
      </c>
      <c r="P104" s="51">
        <v>0</v>
      </c>
      <c r="Q104" s="51">
        <v>4</v>
      </c>
      <c r="R104" s="51">
        <v>5</v>
      </c>
      <c r="S104" s="57" t="s">
        <v>249</v>
      </c>
      <c r="T104" s="51" t="s">
        <v>49</v>
      </c>
      <c r="U104" s="51">
        <v>1</v>
      </c>
      <c r="V104" s="51">
        <v>8</v>
      </c>
      <c r="W104" s="51">
        <v>2</v>
      </c>
      <c r="X104" s="51" t="s">
        <v>50</v>
      </c>
      <c r="Y104" s="57" t="s">
        <v>217</v>
      </c>
      <c r="Z104" s="58">
        <v>10</v>
      </c>
      <c r="AA104" s="57" t="s">
        <v>71</v>
      </c>
      <c r="AB104" s="59">
        <f t="shared" si="1"/>
        <v>45954</v>
      </c>
    </row>
    <row r="105" spans="1:28" ht="12.75">
      <c r="A105" s="56">
        <v>45954.918530162038</v>
      </c>
      <c r="B105" s="51" t="s">
        <v>266</v>
      </c>
      <c r="C105" s="51" t="s">
        <v>29</v>
      </c>
      <c r="D105" s="51" t="s">
        <v>30</v>
      </c>
      <c r="E105" s="51" t="s">
        <v>31</v>
      </c>
      <c r="F105" s="51" t="s">
        <v>32</v>
      </c>
      <c r="G105" s="51" t="s">
        <v>33</v>
      </c>
      <c r="H105" s="51">
        <v>20</v>
      </c>
      <c r="I105" s="51" t="s">
        <v>34</v>
      </c>
      <c r="J105" s="51" t="s">
        <v>64</v>
      </c>
      <c r="K105" s="51" t="s">
        <v>36</v>
      </c>
      <c r="L105" s="51" t="s">
        <v>74</v>
      </c>
      <c r="M105" s="51">
        <v>2</v>
      </c>
      <c r="N105" s="51">
        <v>2</v>
      </c>
      <c r="O105" s="52">
        <v>2</v>
      </c>
      <c r="P105" s="51">
        <v>0</v>
      </c>
      <c r="Q105" s="51">
        <v>3</v>
      </c>
      <c r="R105" s="51">
        <v>1</v>
      </c>
      <c r="S105" s="57" t="s">
        <v>55</v>
      </c>
      <c r="T105" s="51" t="s">
        <v>49</v>
      </c>
      <c r="U105" s="51">
        <v>1</v>
      </c>
      <c r="V105" s="51">
        <v>9</v>
      </c>
      <c r="W105" s="51">
        <v>2</v>
      </c>
      <c r="X105" s="51" t="s">
        <v>40</v>
      </c>
      <c r="Y105" s="57" t="s">
        <v>56</v>
      </c>
      <c r="Z105" s="58">
        <v>10</v>
      </c>
      <c r="AA105" s="57" t="s">
        <v>57</v>
      </c>
      <c r="AB105" s="59">
        <f t="shared" si="1"/>
        <v>45954</v>
      </c>
    </row>
    <row r="106" spans="1:28" ht="12.75">
      <c r="A106" s="56">
        <v>45954.924978148149</v>
      </c>
      <c r="B106" s="51" t="s">
        <v>267</v>
      </c>
      <c r="C106" s="51" t="s">
        <v>29</v>
      </c>
      <c r="D106" s="51" t="s">
        <v>30</v>
      </c>
      <c r="E106" s="51" t="s">
        <v>31</v>
      </c>
      <c r="F106" s="51" t="s">
        <v>32</v>
      </c>
      <c r="G106" s="51" t="s">
        <v>54</v>
      </c>
      <c r="H106" s="51">
        <v>20</v>
      </c>
      <c r="I106" s="51" t="s">
        <v>45</v>
      </c>
      <c r="J106" s="51" t="s">
        <v>64</v>
      </c>
      <c r="K106" s="51" t="s">
        <v>36</v>
      </c>
      <c r="L106" s="51" t="s">
        <v>74</v>
      </c>
      <c r="M106" s="51">
        <v>1</v>
      </c>
      <c r="N106" s="51">
        <v>1</v>
      </c>
      <c r="O106" s="52">
        <v>1</v>
      </c>
      <c r="P106" s="51">
        <v>1</v>
      </c>
      <c r="Q106" s="51">
        <v>3</v>
      </c>
      <c r="R106" s="51">
        <v>1</v>
      </c>
      <c r="S106" s="57" t="s">
        <v>207</v>
      </c>
      <c r="T106" s="51" t="s">
        <v>81</v>
      </c>
      <c r="U106" s="51">
        <v>0</v>
      </c>
      <c r="V106" s="51">
        <v>5</v>
      </c>
      <c r="W106" s="51">
        <v>1</v>
      </c>
      <c r="X106" s="51" t="s">
        <v>40</v>
      </c>
      <c r="Y106" s="57" t="s">
        <v>41</v>
      </c>
      <c r="Z106" s="58">
        <v>0</v>
      </c>
      <c r="AA106" s="57" t="s">
        <v>190</v>
      </c>
      <c r="AB106" s="59">
        <f t="shared" si="1"/>
        <v>45954</v>
      </c>
    </row>
    <row r="107" spans="1:28" ht="12.75">
      <c r="A107" s="56">
        <v>45954.934278090281</v>
      </c>
      <c r="B107" s="51" t="s">
        <v>268</v>
      </c>
      <c r="C107" s="51" t="s">
        <v>29</v>
      </c>
      <c r="D107" s="51" t="s">
        <v>30</v>
      </c>
      <c r="E107" s="51" t="s">
        <v>31</v>
      </c>
      <c r="F107" s="51" t="s">
        <v>32</v>
      </c>
      <c r="G107" s="51" t="s">
        <v>33</v>
      </c>
      <c r="H107" s="51">
        <v>20</v>
      </c>
      <c r="I107" s="51" t="s">
        <v>34</v>
      </c>
      <c r="J107" s="51" t="s">
        <v>64</v>
      </c>
      <c r="K107" s="51" t="s">
        <v>36</v>
      </c>
      <c r="L107" s="51" t="s">
        <v>74</v>
      </c>
      <c r="M107" s="51">
        <v>1</v>
      </c>
      <c r="N107" s="51">
        <v>3</v>
      </c>
      <c r="O107" s="52">
        <v>2</v>
      </c>
      <c r="P107" s="51">
        <v>0</v>
      </c>
      <c r="Q107" s="51">
        <v>3</v>
      </c>
      <c r="R107" s="51">
        <v>2</v>
      </c>
      <c r="S107" s="57" t="s">
        <v>141</v>
      </c>
      <c r="T107" s="51" t="s">
        <v>49</v>
      </c>
      <c r="U107" s="51">
        <v>4</v>
      </c>
      <c r="V107" s="51">
        <v>7</v>
      </c>
      <c r="W107" s="51">
        <v>2</v>
      </c>
      <c r="X107" s="51" t="s">
        <v>40</v>
      </c>
      <c r="Y107" s="57" t="s">
        <v>41</v>
      </c>
      <c r="Z107" s="58">
        <v>0</v>
      </c>
      <c r="AA107" s="57" t="s">
        <v>190</v>
      </c>
      <c r="AB107" s="59">
        <f t="shared" si="1"/>
        <v>45954</v>
      </c>
    </row>
    <row r="108" spans="1:28" ht="12.75">
      <c r="A108" s="56">
        <v>45954.935452060185</v>
      </c>
      <c r="B108" s="51" t="s">
        <v>269</v>
      </c>
      <c r="C108" s="51" t="s">
        <v>29</v>
      </c>
      <c r="D108" s="51" t="s">
        <v>30</v>
      </c>
      <c r="E108" s="51" t="s">
        <v>31</v>
      </c>
      <c r="F108" s="51" t="s">
        <v>32</v>
      </c>
      <c r="G108" s="51" t="s">
        <v>54</v>
      </c>
      <c r="H108" s="51">
        <v>20</v>
      </c>
      <c r="I108" s="51" t="s">
        <v>45</v>
      </c>
      <c r="J108" s="51" t="s">
        <v>64</v>
      </c>
      <c r="K108" s="51" t="s">
        <v>36</v>
      </c>
      <c r="L108" s="51" t="s">
        <v>74</v>
      </c>
      <c r="M108" s="51">
        <v>2</v>
      </c>
      <c r="N108" s="51">
        <v>4</v>
      </c>
      <c r="O108" s="52">
        <v>3</v>
      </c>
      <c r="P108" s="51">
        <v>0</v>
      </c>
      <c r="Q108" s="51">
        <v>3</v>
      </c>
      <c r="R108" s="51">
        <v>4</v>
      </c>
      <c r="S108" s="57" t="s">
        <v>80</v>
      </c>
      <c r="T108" s="51" t="s">
        <v>39</v>
      </c>
      <c r="U108" s="51">
        <v>0</v>
      </c>
      <c r="V108" s="51">
        <v>10</v>
      </c>
      <c r="W108" s="51">
        <v>1</v>
      </c>
      <c r="X108" s="51" t="s">
        <v>40</v>
      </c>
      <c r="Y108" s="57" t="s">
        <v>56</v>
      </c>
      <c r="Z108" s="58">
        <v>5</v>
      </c>
      <c r="AA108" s="57" t="s">
        <v>270</v>
      </c>
      <c r="AB108" s="59">
        <f t="shared" si="1"/>
        <v>45954</v>
      </c>
    </row>
    <row r="109" spans="1:28" ht="12.75">
      <c r="A109" s="56">
        <v>45954.937198240739</v>
      </c>
      <c r="B109" s="51" t="s">
        <v>271</v>
      </c>
      <c r="C109" s="51" t="s">
        <v>29</v>
      </c>
      <c r="D109" s="51" t="s">
        <v>30</v>
      </c>
      <c r="E109" s="51" t="s">
        <v>31</v>
      </c>
      <c r="F109" s="51" t="s">
        <v>32</v>
      </c>
      <c r="G109" s="51" t="s">
        <v>54</v>
      </c>
      <c r="H109" s="51">
        <v>20</v>
      </c>
      <c r="I109" s="51" t="s">
        <v>34</v>
      </c>
      <c r="J109" s="51" t="s">
        <v>35</v>
      </c>
      <c r="K109" s="51" t="s">
        <v>36</v>
      </c>
      <c r="L109" s="51" t="s">
        <v>68</v>
      </c>
      <c r="M109" s="51">
        <v>1</v>
      </c>
      <c r="N109" s="51">
        <v>2</v>
      </c>
      <c r="O109" s="52">
        <v>1</v>
      </c>
      <c r="P109" s="51">
        <v>1</v>
      </c>
      <c r="Q109" s="51">
        <v>5</v>
      </c>
      <c r="R109" s="51">
        <v>1</v>
      </c>
      <c r="S109" s="57" t="s">
        <v>38</v>
      </c>
      <c r="T109" s="51" t="s">
        <v>49</v>
      </c>
      <c r="U109" s="51">
        <v>2</v>
      </c>
      <c r="V109" s="51">
        <v>10</v>
      </c>
      <c r="W109" s="51">
        <v>1</v>
      </c>
      <c r="X109" s="51" t="s">
        <v>50</v>
      </c>
      <c r="Y109" s="57" t="s">
        <v>272</v>
      </c>
      <c r="Z109" s="58">
        <v>10</v>
      </c>
      <c r="AA109" s="57" t="s">
        <v>197</v>
      </c>
      <c r="AB109" s="59">
        <f t="shared" si="1"/>
        <v>45954</v>
      </c>
    </row>
    <row r="110" spans="1:28" ht="12.75">
      <c r="A110" s="56">
        <v>45954.941494629631</v>
      </c>
      <c r="B110" s="51" t="s">
        <v>273</v>
      </c>
      <c r="C110" s="51" t="s">
        <v>29</v>
      </c>
      <c r="D110" s="51" t="s">
        <v>30</v>
      </c>
      <c r="E110" s="51" t="s">
        <v>31</v>
      </c>
      <c r="F110" s="51" t="s">
        <v>32</v>
      </c>
      <c r="G110" s="51" t="s">
        <v>54</v>
      </c>
      <c r="H110" s="51">
        <v>20</v>
      </c>
      <c r="I110" s="51" t="s">
        <v>34</v>
      </c>
      <c r="J110" s="51" t="s">
        <v>64</v>
      </c>
      <c r="K110" s="51" t="s">
        <v>36</v>
      </c>
      <c r="L110" s="51" t="s">
        <v>37</v>
      </c>
      <c r="M110" s="51">
        <v>5</v>
      </c>
      <c r="N110" s="51">
        <v>5</v>
      </c>
      <c r="O110" s="52">
        <v>5</v>
      </c>
      <c r="P110" s="51">
        <v>2</v>
      </c>
      <c r="Q110" s="51">
        <v>5</v>
      </c>
      <c r="R110" s="51">
        <v>5</v>
      </c>
      <c r="S110" s="57" t="s">
        <v>259</v>
      </c>
      <c r="T110" s="51" t="s">
        <v>102</v>
      </c>
      <c r="U110" s="51">
        <v>1</v>
      </c>
      <c r="V110" s="51">
        <v>10</v>
      </c>
      <c r="W110" s="51">
        <v>5</v>
      </c>
      <c r="X110" s="51" t="s">
        <v>69</v>
      </c>
      <c r="Y110" s="57" t="s">
        <v>95</v>
      </c>
      <c r="Z110" s="58">
        <v>40</v>
      </c>
      <c r="AA110" s="57" t="s">
        <v>219</v>
      </c>
      <c r="AB110" s="59">
        <f t="shared" si="1"/>
        <v>45954</v>
      </c>
    </row>
    <row r="111" spans="1:28" ht="12.75">
      <c r="A111" s="56">
        <v>45954.95089472222</v>
      </c>
      <c r="B111" s="51" t="s">
        <v>274</v>
      </c>
      <c r="C111" s="51" t="s">
        <v>29</v>
      </c>
      <c r="D111" s="51" t="s">
        <v>30</v>
      </c>
      <c r="E111" s="51" t="s">
        <v>31</v>
      </c>
      <c r="F111" s="51" t="s">
        <v>32</v>
      </c>
      <c r="G111" s="51" t="s">
        <v>33</v>
      </c>
      <c r="H111" s="51">
        <v>20</v>
      </c>
      <c r="I111" s="51" t="s">
        <v>34</v>
      </c>
      <c r="J111" s="51" t="s">
        <v>108</v>
      </c>
      <c r="K111" s="51" t="s">
        <v>36</v>
      </c>
      <c r="L111" s="51" t="s">
        <v>37</v>
      </c>
      <c r="M111" s="51">
        <v>3</v>
      </c>
      <c r="N111" s="51">
        <v>4</v>
      </c>
      <c r="O111" s="52">
        <v>12</v>
      </c>
      <c r="P111" s="51">
        <v>1</v>
      </c>
      <c r="Q111" s="51">
        <v>3</v>
      </c>
      <c r="R111" s="51">
        <v>5</v>
      </c>
      <c r="S111" s="57" t="s">
        <v>135</v>
      </c>
      <c r="T111" s="51" t="s">
        <v>49</v>
      </c>
      <c r="U111" s="51">
        <v>2</v>
      </c>
      <c r="V111" s="51">
        <v>10</v>
      </c>
      <c r="W111" s="51">
        <v>1</v>
      </c>
      <c r="X111" s="51" t="s">
        <v>40</v>
      </c>
      <c r="Y111" s="57" t="s">
        <v>275</v>
      </c>
      <c r="Z111" s="58">
        <v>15</v>
      </c>
      <c r="AA111" s="57" t="s">
        <v>157</v>
      </c>
      <c r="AB111" s="59">
        <f t="shared" si="1"/>
        <v>45954</v>
      </c>
    </row>
    <row r="112" spans="1:28" ht="12.75">
      <c r="A112" s="56">
        <v>45951.97995581018</v>
      </c>
      <c r="B112" s="51" t="s">
        <v>276</v>
      </c>
      <c r="C112" s="51" t="s">
        <v>29</v>
      </c>
      <c r="D112" s="51" t="s">
        <v>30</v>
      </c>
      <c r="E112" s="51" t="s">
        <v>31</v>
      </c>
      <c r="F112" s="51" t="s">
        <v>32</v>
      </c>
      <c r="G112" s="51" t="s">
        <v>33</v>
      </c>
      <c r="H112" s="51">
        <v>21</v>
      </c>
      <c r="I112" s="51" t="s">
        <v>99</v>
      </c>
      <c r="J112" s="51" t="s">
        <v>89</v>
      </c>
      <c r="K112" s="51" t="s">
        <v>90</v>
      </c>
      <c r="L112" s="51" t="s">
        <v>47</v>
      </c>
      <c r="M112" s="51">
        <v>1</v>
      </c>
      <c r="N112" s="51">
        <v>1</v>
      </c>
      <c r="O112" s="52">
        <v>0</v>
      </c>
      <c r="P112" s="51">
        <v>0</v>
      </c>
      <c r="Q112" s="51">
        <v>3</v>
      </c>
      <c r="R112" s="51">
        <v>2</v>
      </c>
      <c r="S112" s="57" t="s">
        <v>91</v>
      </c>
      <c r="T112" s="51" t="s">
        <v>81</v>
      </c>
      <c r="U112" s="51">
        <v>5</v>
      </c>
      <c r="V112" s="51">
        <v>4</v>
      </c>
      <c r="W112" s="51">
        <v>1</v>
      </c>
      <c r="X112" s="51" t="s">
        <v>40</v>
      </c>
      <c r="Y112" s="57" t="s">
        <v>56</v>
      </c>
      <c r="Z112" s="58">
        <v>10</v>
      </c>
      <c r="AA112" s="57" t="s">
        <v>277</v>
      </c>
      <c r="AB112" s="59">
        <f t="shared" si="1"/>
        <v>45951</v>
      </c>
    </row>
    <row r="113" spans="1:28" ht="12.75">
      <c r="A113" s="56">
        <v>45952.002951030096</v>
      </c>
      <c r="B113" s="51" t="s">
        <v>278</v>
      </c>
      <c r="C113" s="51" t="s">
        <v>29</v>
      </c>
      <c r="D113" s="51" t="s">
        <v>30</v>
      </c>
      <c r="E113" s="51" t="s">
        <v>31</v>
      </c>
      <c r="F113" s="51" t="s">
        <v>32</v>
      </c>
      <c r="G113" s="51" t="s">
        <v>33</v>
      </c>
      <c r="H113" s="51">
        <v>21</v>
      </c>
      <c r="I113" s="51" t="s">
        <v>34</v>
      </c>
      <c r="J113" s="51" t="s">
        <v>64</v>
      </c>
      <c r="K113" s="51" t="s">
        <v>36</v>
      </c>
      <c r="L113" s="51" t="s">
        <v>74</v>
      </c>
      <c r="M113" s="51">
        <v>1</v>
      </c>
      <c r="N113" s="51">
        <v>3</v>
      </c>
      <c r="O113" s="52">
        <v>1</v>
      </c>
      <c r="P113" s="51">
        <v>0</v>
      </c>
      <c r="Q113" s="51">
        <v>5</v>
      </c>
      <c r="R113" s="51">
        <v>3</v>
      </c>
      <c r="S113" s="57" t="s">
        <v>141</v>
      </c>
      <c r="T113" s="51" t="s">
        <v>49</v>
      </c>
      <c r="U113" s="51">
        <v>3</v>
      </c>
      <c r="V113" s="51">
        <v>8</v>
      </c>
      <c r="W113" s="51">
        <v>1</v>
      </c>
      <c r="X113" s="51" t="s">
        <v>69</v>
      </c>
      <c r="Y113" s="57" t="s">
        <v>279</v>
      </c>
      <c r="Z113" s="58">
        <v>50</v>
      </c>
      <c r="AA113" s="57" t="s">
        <v>116</v>
      </c>
      <c r="AB113" s="59">
        <f t="shared" si="1"/>
        <v>45952</v>
      </c>
    </row>
    <row r="114" spans="1:28" ht="12.75">
      <c r="A114" s="56">
        <v>45952.182716539348</v>
      </c>
      <c r="B114" s="51" t="s">
        <v>280</v>
      </c>
      <c r="C114" s="51" t="s">
        <v>29</v>
      </c>
      <c r="D114" s="51" t="s">
        <v>30</v>
      </c>
      <c r="E114" s="51" t="s">
        <v>31</v>
      </c>
      <c r="F114" s="51" t="s">
        <v>44</v>
      </c>
      <c r="G114" s="51" t="s">
        <v>33</v>
      </c>
      <c r="H114" s="51">
        <v>21</v>
      </c>
      <c r="I114" s="51" t="s">
        <v>34</v>
      </c>
      <c r="J114" s="51" t="s">
        <v>64</v>
      </c>
      <c r="K114" s="51" t="s">
        <v>36</v>
      </c>
      <c r="L114" s="51" t="s">
        <v>68</v>
      </c>
      <c r="M114" s="51">
        <v>1</v>
      </c>
      <c r="N114" s="51">
        <v>1</v>
      </c>
      <c r="O114" s="52">
        <v>1.5</v>
      </c>
      <c r="P114" s="51">
        <v>0</v>
      </c>
      <c r="Q114" s="51">
        <v>5</v>
      </c>
      <c r="R114" s="51">
        <v>5</v>
      </c>
      <c r="S114" s="57" t="s">
        <v>38</v>
      </c>
      <c r="T114" s="51" t="s">
        <v>102</v>
      </c>
      <c r="U114" s="51">
        <v>10</v>
      </c>
      <c r="V114" s="51">
        <v>10</v>
      </c>
      <c r="W114" s="51">
        <v>1</v>
      </c>
      <c r="X114" s="51" t="s">
        <v>50</v>
      </c>
      <c r="Y114" s="57" t="s">
        <v>199</v>
      </c>
      <c r="Z114" s="58">
        <v>20</v>
      </c>
      <c r="AA114" s="57" t="s">
        <v>197</v>
      </c>
      <c r="AB114" s="59">
        <f t="shared" si="1"/>
        <v>45952</v>
      </c>
    </row>
    <row r="115" spans="1:28" ht="12.75">
      <c r="A115" s="56">
        <v>45952.386617800927</v>
      </c>
      <c r="B115" s="51" t="s">
        <v>281</v>
      </c>
      <c r="C115" s="51" t="s">
        <v>29</v>
      </c>
      <c r="D115" s="51" t="s">
        <v>30</v>
      </c>
      <c r="E115" s="51" t="s">
        <v>31</v>
      </c>
      <c r="F115" s="51" t="s">
        <v>44</v>
      </c>
      <c r="G115" s="51" t="s">
        <v>33</v>
      </c>
      <c r="H115" s="51">
        <v>21</v>
      </c>
      <c r="I115" s="51" t="s">
        <v>34</v>
      </c>
      <c r="J115" s="51" t="s">
        <v>46</v>
      </c>
      <c r="K115" s="51" t="s">
        <v>36</v>
      </c>
      <c r="L115" s="51" t="s">
        <v>68</v>
      </c>
      <c r="M115" s="51">
        <v>1</v>
      </c>
      <c r="N115" s="51">
        <v>1</v>
      </c>
      <c r="O115" s="52">
        <v>2</v>
      </c>
      <c r="P115" s="51">
        <v>0</v>
      </c>
      <c r="Q115" s="51">
        <v>3</v>
      </c>
      <c r="R115" s="51">
        <v>3</v>
      </c>
      <c r="S115" s="57" t="s">
        <v>141</v>
      </c>
      <c r="T115" s="51" t="s">
        <v>49</v>
      </c>
      <c r="U115" s="51">
        <v>2</v>
      </c>
      <c r="V115" s="51">
        <v>10</v>
      </c>
      <c r="W115" s="51">
        <v>1</v>
      </c>
      <c r="X115" s="51" t="s">
        <v>50</v>
      </c>
      <c r="Y115" s="57" t="s">
        <v>199</v>
      </c>
      <c r="Z115" s="58">
        <v>25</v>
      </c>
      <c r="AA115" s="57" t="s">
        <v>157</v>
      </c>
      <c r="AB115" s="59">
        <f t="shared" si="1"/>
        <v>45952</v>
      </c>
    </row>
    <row r="116" spans="1:28" ht="12.75">
      <c r="A116" s="56">
        <v>45953.02039766204</v>
      </c>
      <c r="B116" s="51" t="s">
        <v>282</v>
      </c>
      <c r="C116" s="51" t="s">
        <v>29</v>
      </c>
      <c r="D116" s="51" t="s">
        <v>30</v>
      </c>
      <c r="E116" s="51" t="s">
        <v>31</v>
      </c>
      <c r="F116" s="51" t="s">
        <v>32</v>
      </c>
      <c r="G116" s="51" t="s">
        <v>54</v>
      </c>
      <c r="H116" s="51">
        <v>21</v>
      </c>
      <c r="I116" s="51" t="s">
        <v>45</v>
      </c>
      <c r="J116" s="51" t="s">
        <v>64</v>
      </c>
      <c r="K116" s="51" t="s">
        <v>36</v>
      </c>
      <c r="L116" s="51" t="s">
        <v>283</v>
      </c>
      <c r="M116" s="51">
        <v>2</v>
      </c>
      <c r="N116" s="51">
        <v>2</v>
      </c>
      <c r="O116" s="52">
        <v>2</v>
      </c>
      <c r="P116" s="51">
        <v>0</v>
      </c>
      <c r="Q116" s="51">
        <v>3</v>
      </c>
      <c r="R116" s="51">
        <v>1</v>
      </c>
      <c r="S116" s="57" t="s">
        <v>38</v>
      </c>
      <c r="T116" s="51" t="s">
        <v>49</v>
      </c>
      <c r="U116" s="51">
        <v>1</v>
      </c>
      <c r="V116" s="51">
        <v>7</v>
      </c>
      <c r="W116" s="51">
        <v>1</v>
      </c>
      <c r="X116" s="51" t="s">
        <v>50</v>
      </c>
      <c r="Y116" s="57" t="s">
        <v>70</v>
      </c>
      <c r="Z116" s="58">
        <v>20</v>
      </c>
      <c r="AA116" s="57" t="s">
        <v>114</v>
      </c>
      <c r="AB116" s="59">
        <f t="shared" si="1"/>
        <v>45953</v>
      </c>
    </row>
    <row r="117" spans="1:28" ht="12.75">
      <c r="A117" s="56">
        <v>45953.407374745366</v>
      </c>
      <c r="B117" s="51" t="s">
        <v>284</v>
      </c>
      <c r="C117" s="51" t="s">
        <v>29</v>
      </c>
      <c r="D117" s="51" t="s">
        <v>30</v>
      </c>
      <c r="E117" s="51" t="s">
        <v>31</v>
      </c>
      <c r="F117" s="51" t="s">
        <v>53</v>
      </c>
      <c r="G117" s="51" t="s">
        <v>54</v>
      </c>
      <c r="H117" s="51">
        <v>21</v>
      </c>
      <c r="I117" s="51" t="s">
        <v>34</v>
      </c>
      <c r="J117" s="51" t="s">
        <v>89</v>
      </c>
      <c r="K117" s="51" t="s">
        <v>36</v>
      </c>
      <c r="L117" s="51" t="s">
        <v>37</v>
      </c>
      <c r="M117" s="51">
        <v>2</v>
      </c>
      <c r="N117" s="51">
        <v>1</v>
      </c>
      <c r="O117" s="52">
        <v>5.75</v>
      </c>
      <c r="P117" s="51">
        <v>1</v>
      </c>
      <c r="Q117" s="51">
        <v>5</v>
      </c>
      <c r="R117" s="51">
        <v>5</v>
      </c>
      <c r="S117" s="57" t="s">
        <v>141</v>
      </c>
      <c r="T117" s="51" t="s">
        <v>49</v>
      </c>
      <c r="U117" s="51">
        <v>1</v>
      </c>
      <c r="V117" s="51">
        <v>10</v>
      </c>
      <c r="W117" s="51">
        <v>2</v>
      </c>
      <c r="X117" s="51" t="s">
        <v>50</v>
      </c>
      <c r="Y117" s="57" t="s">
        <v>231</v>
      </c>
      <c r="Z117" s="58">
        <v>8.99</v>
      </c>
      <c r="AA117" s="57" t="s">
        <v>285</v>
      </c>
      <c r="AB117" s="59">
        <f t="shared" si="1"/>
        <v>45953</v>
      </c>
    </row>
    <row r="118" spans="1:28" ht="12.75">
      <c r="A118" s="56">
        <v>45953.410033425927</v>
      </c>
      <c r="B118" s="51" t="s">
        <v>286</v>
      </c>
      <c r="C118" s="51" t="s">
        <v>29</v>
      </c>
      <c r="D118" s="51" t="s">
        <v>30</v>
      </c>
      <c r="E118" s="51" t="s">
        <v>31</v>
      </c>
      <c r="F118" s="51" t="s">
        <v>53</v>
      </c>
      <c r="G118" s="51" t="s">
        <v>54</v>
      </c>
      <c r="H118" s="51">
        <v>21</v>
      </c>
      <c r="I118" s="51" t="s">
        <v>34</v>
      </c>
      <c r="J118" s="51" t="s">
        <v>35</v>
      </c>
      <c r="K118" s="51" t="s">
        <v>36</v>
      </c>
      <c r="L118" s="51" t="s">
        <v>47</v>
      </c>
      <c r="M118" s="51">
        <v>1</v>
      </c>
      <c r="N118" s="51">
        <v>1</v>
      </c>
      <c r="O118" s="52">
        <v>0</v>
      </c>
      <c r="P118" s="51">
        <v>0</v>
      </c>
      <c r="Q118" s="51">
        <v>2</v>
      </c>
      <c r="R118" s="51">
        <v>2</v>
      </c>
      <c r="S118" s="57" t="s">
        <v>121</v>
      </c>
      <c r="T118" s="51" t="s">
        <v>81</v>
      </c>
      <c r="U118" s="51">
        <v>1</v>
      </c>
      <c r="V118" s="51">
        <v>4</v>
      </c>
      <c r="W118" s="51">
        <v>1</v>
      </c>
      <c r="X118" s="51" t="s">
        <v>60</v>
      </c>
      <c r="Y118" s="57" t="s">
        <v>97</v>
      </c>
      <c r="Z118" s="58">
        <v>1.99</v>
      </c>
      <c r="AA118" s="57" t="s">
        <v>66</v>
      </c>
      <c r="AB118" s="59">
        <f t="shared" si="1"/>
        <v>45953</v>
      </c>
    </row>
    <row r="119" spans="1:28" ht="12.75">
      <c r="A119" s="56">
        <v>45953.419117199075</v>
      </c>
      <c r="B119" s="51" t="s">
        <v>287</v>
      </c>
      <c r="C119" s="51" t="s">
        <v>29</v>
      </c>
      <c r="D119" s="51" t="s">
        <v>30</v>
      </c>
      <c r="E119" s="51" t="s">
        <v>31</v>
      </c>
      <c r="F119" s="51" t="s">
        <v>53</v>
      </c>
      <c r="G119" s="51" t="s">
        <v>33</v>
      </c>
      <c r="H119" s="51">
        <v>21</v>
      </c>
      <c r="I119" s="51" t="s">
        <v>34</v>
      </c>
      <c r="J119" s="51" t="s">
        <v>35</v>
      </c>
      <c r="K119" s="51" t="s">
        <v>90</v>
      </c>
      <c r="L119" s="51" t="s">
        <v>47</v>
      </c>
      <c r="M119" s="51">
        <v>1</v>
      </c>
      <c r="N119" s="51">
        <v>1</v>
      </c>
      <c r="O119" s="52">
        <v>0</v>
      </c>
      <c r="P119" s="51">
        <v>0</v>
      </c>
      <c r="Q119" s="51">
        <v>3</v>
      </c>
      <c r="R119" s="51">
        <v>2</v>
      </c>
      <c r="S119" s="57" t="s">
        <v>135</v>
      </c>
      <c r="T119" s="51" t="s">
        <v>49</v>
      </c>
      <c r="U119" s="51">
        <v>1</v>
      </c>
      <c r="V119" s="51">
        <v>3</v>
      </c>
      <c r="W119" s="51">
        <v>1</v>
      </c>
      <c r="X119" s="51" t="s">
        <v>60</v>
      </c>
      <c r="Y119" s="57" t="s">
        <v>61</v>
      </c>
      <c r="Z119" s="58">
        <v>14.99</v>
      </c>
      <c r="AA119" s="57" t="s">
        <v>288</v>
      </c>
      <c r="AB119" s="59">
        <f t="shared" si="1"/>
        <v>45953</v>
      </c>
    </row>
    <row r="120" spans="1:28" ht="12.75">
      <c r="A120" s="56">
        <v>45953.441154664353</v>
      </c>
      <c r="B120" s="51" t="s">
        <v>289</v>
      </c>
      <c r="C120" s="51" t="s">
        <v>29</v>
      </c>
      <c r="D120" s="51" t="s">
        <v>30</v>
      </c>
      <c r="E120" s="51" t="s">
        <v>31</v>
      </c>
      <c r="F120" s="51" t="s">
        <v>53</v>
      </c>
      <c r="G120" s="51" t="s">
        <v>54</v>
      </c>
      <c r="H120" s="51">
        <v>21</v>
      </c>
      <c r="I120" s="51" t="s">
        <v>34</v>
      </c>
      <c r="J120" s="51" t="s">
        <v>35</v>
      </c>
      <c r="K120" s="51" t="s">
        <v>36</v>
      </c>
      <c r="L120" s="51" t="s">
        <v>37</v>
      </c>
      <c r="M120" s="51">
        <v>2</v>
      </c>
      <c r="N120" s="51">
        <v>2</v>
      </c>
      <c r="O120" s="52">
        <v>5.75</v>
      </c>
      <c r="P120" s="51">
        <v>0</v>
      </c>
      <c r="Q120" s="51">
        <v>5</v>
      </c>
      <c r="R120" s="51">
        <v>2</v>
      </c>
      <c r="S120" s="57" t="s">
        <v>127</v>
      </c>
      <c r="T120" s="51" t="s">
        <v>39</v>
      </c>
      <c r="U120" s="51">
        <v>1</v>
      </c>
      <c r="V120" s="51">
        <v>8</v>
      </c>
      <c r="W120" s="51">
        <v>2</v>
      </c>
      <c r="X120" s="51" t="s">
        <v>50</v>
      </c>
      <c r="Y120" s="57" t="s">
        <v>76</v>
      </c>
      <c r="Z120" s="58">
        <v>30.5</v>
      </c>
      <c r="AA120" s="57" t="s">
        <v>66</v>
      </c>
      <c r="AB120" s="59">
        <f t="shared" si="1"/>
        <v>45953</v>
      </c>
    </row>
    <row r="121" spans="1:28" ht="12.75">
      <c r="A121" s="56">
        <v>45953.446565104168</v>
      </c>
      <c r="B121" s="51" t="s">
        <v>290</v>
      </c>
      <c r="C121" s="51" t="s">
        <v>29</v>
      </c>
      <c r="D121" s="51" t="s">
        <v>30</v>
      </c>
      <c r="E121" s="51" t="s">
        <v>31</v>
      </c>
      <c r="F121" s="51" t="s">
        <v>53</v>
      </c>
      <c r="G121" s="51" t="s">
        <v>54</v>
      </c>
      <c r="H121" s="51">
        <v>21</v>
      </c>
      <c r="I121" s="51" t="s">
        <v>34</v>
      </c>
      <c r="J121" s="51" t="s">
        <v>108</v>
      </c>
      <c r="K121" s="51" t="s">
        <v>36</v>
      </c>
      <c r="L121" s="51" t="s">
        <v>68</v>
      </c>
      <c r="M121" s="51">
        <v>2</v>
      </c>
      <c r="N121" s="51">
        <v>2</v>
      </c>
      <c r="O121" s="52">
        <v>6.75</v>
      </c>
      <c r="P121" s="51">
        <v>0</v>
      </c>
      <c r="Q121" s="51">
        <v>5</v>
      </c>
      <c r="R121" s="51">
        <v>2</v>
      </c>
      <c r="S121" s="57" t="s">
        <v>132</v>
      </c>
      <c r="T121" s="51" t="s">
        <v>39</v>
      </c>
      <c r="U121" s="51">
        <v>1</v>
      </c>
      <c r="V121" s="51">
        <v>6</v>
      </c>
      <c r="W121" s="51">
        <v>2</v>
      </c>
      <c r="X121" s="51" t="s">
        <v>50</v>
      </c>
      <c r="Y121" s="57" t="s">
        <v>109</v>
      </c>
      <c r="Z121" s="58">
        <v>14.99</v>
      </c>
      <c r="AA121" s="57" t="s">
        <v>291</v>
      </c>
      <c r="AB121" s="59">
        <f t="shared" si="1"/>
        <v>45953</v>
      </c>
    </row>
    <row r="122" spans="1:28" ht="12.75">
      <c r="A122" s="56">
        <v>45953.452833958334</v>
      </c>
      <c r="B122" s="51" t="s">
        <v>292</v>
      </c>
      <c r="C122" s="51" t="s">
        <v>29</v>
      </c>
      <c r="D122" s="51" t="s">
        <v>30</v>
      </c>
      <c r="E122" s="51" t="s">
        <v>31</v>
      </c>
      <c r="F122" s="51" t="s">
        <v>53</v>
      </c>
      <c r="G122" s="51" t="s">
        <v>33</v>
      </c>
      <c r="H122" s="51">
        <v>21</v>
      </c>
      <c r="I122" s="51" t="s">
        <v>34</v>
      </c>
      <c r="J122" s="51" t="s">
        <v>35</v>
      </c>
      <c r="K122" s="51" t="s">
        <v>36</v>
      </c>
      <c r="L122" s="51" t="s">
        <v>74</v>
      </c>
      <c r="M122" s="51">
        <v>3</v>
      </c>
      <c r="N122" s="51">
        <v>3</v>
      </c>
      <c r="O122" s="52">
        <v>8.5</v>
      </c>
      <c r="P122" s="51">
        <v>2</v>
      </c>
      <c r="Q122" s="51">
        <v>5</v>
      </c>
      <c r="R122" s="51">
        <v>2</v>
      </c>
      <c r="S122" s="57" t="s">
        <v>135</v>
      </c>
      <c r="T122" s="51" t="s">
        <v>94</v>
      </c>
      <c r="U122" s="51">
        <v>2</v>
      </c>
      <c r="V122" s="51">
        <v>9</v>
      </c>
      <c r="W122" s="51">
        <v>3</v>
      </c>
      <c r="X122" s="51" t="s">
        <v>40</v>
      </c>
      <c r="Y122" s="57" t="s">
        <v>97</v>
      </c>
      <c r="Z122" s="58">
        <v>25.9</v>
      </c>
      <c r="AA122" s="57" t="s">
        <v>57</v>
      </c>
      <c r="AB122" s="59">
        <f t="shared" si="1"/>
        <v>45953</v>
      </c>
    </row>
    <row r="123" spans="1:28" ht="12.75">
      <c r="A123" s="56">
        <v>45953.543493020828</v>
      </c>
      <c r="B123" s="51" t="s">
        <v>293</v>
      </c>
      <c r="C123" s="51" t="s">
        <v>29</v>
      </c>
      <c r="D123" s="51" t="s">
        <v>30</v>
      </c>
      <c r="E123" s="51" t="s">
        <v>31</v>
      </c>
      <c r="F123" s="51" t="s">
        <v>53</v>
      </c>
      <c r="G123" s="51" t="s">
        <v>54</v>
      </c>
      <c r="H123" s="51">
        <v>21</v>
      </c>
      <c r="I123" s="51" t="s">
        <v>34</v>
      </c>
      <c r="J123" s="51" t="s">
        <v>35</v>
      </c>
      <c r="K123" s="51" t="s">
        <v>36</v>
      </c>
      <c r="L123" s="51" t="s">
        <v>100</v>
      </c>
      <c r="M123" s="51">
        <v>3</v>
      </c>
      <c r="N123" s="51">
        <v>3</v>
      </c>
      <c r="O123" s="52">
        <v>24</v>
      </c>
      <c r="P123" s="51">
        <v>0</v>
      </c>
      <c r="Q123" s="51">
        <v>5</v>
      </c>
      <c r="R123" s="51">
        <v>2</v>
      </c>
      <c r="S123" s="57" t="s">
        <v>91</v>
      </c>
      <c r="T123" s="51" t="s">
        <v>94</v>
      </c>
      <c r="U123" s="51">
        <v>1</v>
      </c>
      <c r="V123" s="51">
        <v>8</v>
      </c>
      <c r="W123" s="51">
        <v>2</v>
      </c>
      <c r="X123" s="51" t="s">
        <v>69</v>
      </c>
      <c r="Y123" s="57" t="s">
        <v>272</v>
      </c>
      <c r="Z123" s="58">
        <v>15.6</v>
      </c>
      <c r="AA123" s="57" t="s">
        <v>51</v>
      </c>
      <c r="AB123" s="59">
        <f t="shared" si="1"/>
        <v>45953</v>
      </c>
    </row>
    <row r="124" spans="1:28" ht="12.75">
      <c r="A124" s="56">
        <v>45953.57123804398</v>
      </c>
      <c r="B124" s="51" t="s">
        <v>294</v>
      </c>
      <c r="C124" s="51" t="s">
        <v>29</v>
      </c>
      <c r="D124" s="51" t="s">
        <v>30</v>
      </c>
      <c r="E124" s="51" t="s">
        <v>31</v>
      </c>
      <c r="F124" s="51" t="s">
        <v>53</v>
      </c>
      <c r="G124" s="51" t="s">
        <v>33</v>
      </c>
      <c r="H124" s="51">
        <v>21</v>
      </c>
      <c r="I124" s="51" t="s">
        <v>34</v>
      </c>
      <c r="J124" s="51" t="s">
        <v>64</v>
      </c>
      <c r="K124" s="51" t="s">
        <v>90</v>
      </c>
      <c r="L124" s="51" t="s">
        <v>47</v>
      </c>
      <c r="M124" s="51">
        <v>1</v>
      </c>
      <c r="N124" s="51">
        <v>1</v>
      </c>
      <c r="O124" s="52">
        <v>0</v>
      </c>
      <c r="P124" s="51">
        <v>0</v>
      </c>
      <c r="Q124" s="51">
        <v>3</v>
      </c>
      <c r="R124" s="51">
        <v>4</v>
      </c>
      <c r="S124" s="57" t="s">
        <v>295</v>
      </c>
      <c r="T124" s="51" t="s">
        <v>94</v>
      </c>
      <c r="U124" s="51">
        <v>1</v>
      </c>
      <c r="V124" s="51">
        <v>9</v>
      </c>
      <c r="W124" s="51">
        <v>3</v>
      </c>
      <c r="X124" s="51" t="s">
        <v>69</v>
      </c>
      <c r="Y124" s="57" t="s">
        <v>133</v>
      </c>
      <c r="Z124" s="58">
        <v>50.5</v>
      </c>
      <c r="AA124" s="57" t="s">
        <v>197</v>
      </c>
      <c r="AB124" s="59">
        <f t="shared" si="1"/>
        <v>45953</v>
      </c>
    </row>
    <row r="125" spans="1:28" ht="12.75">
      <c r="A125" s="56">
        <v>45953.741664652778</v>
      </c>
      <c r="B125" s="51" t="s">
        <v>296</v>
      </c>
      <c r="C125" s="51" t="s">
        <v>29</v>
      </c>
      <c r="D125" s="51" t="s">
        <v>30</v>
      </c>
      <c r="E125" s="51" t="s">
        <v>31</v>
      </c>
      <c r="F125" s="51" t="s">
        <v>53</v>
      </c>
      <c r="G125" s="51" t="s">
        <v>33</v>
      </c>
      <c r="H125" s="51">
        <v>21</v>
      </c>
      <c r="I125" s="51" t="s">
        <v>34</v>
      </c>
      <c r="J125" s="51" t="s">
        <v>79</v>
      </c>
      <c r="K125" s="51" t="s">
        <v>36</v>
      </c>
      <c r="L125" s="51" t="s">
        <v>113</v>
      </c>
      <c r="M125" s="51">
        <v>2</v>
      </c>
      <c r="N125" s="51">
        <v>1</v>
      </c>
      <c r="O125" s="52">
        <v>3.75</v>
      </c>
      <c r="P125" s="51">
        <v>1</v>
      </c>
      <c r="Q125" s="51">
        <v>4</v>
      </c>
      <c r="R125" s="51">
        <v>1</v>
      </c>
      <c r="S125" s="57" t="s">
        <v>135</v>
      </c>
      <c r="T125" s="51" t="s">
        <v>49</v>
      </c>
      <c r="U125" s="51">
        <v>2</v>
      </c>
      <c r="V125" s="51">
        <v>10</v>
      </c>
      <c r="W125" s="51">
        <v>2</v>
      </c>
      <c r="X125" s="51" t="s">
        <v>40</v>
      </c>
      <c r="Y125" s="57" t="s">
        <v>118</v>
      </c>
      <c r="Z125" s="58">
        <v>55.9</v>
      </c>
      <c r="AA125" s="57" t="s">
        <v>114</v>
      </c>
      <c r="AB125" s="59">
        <f t="shared" si="1"/>
        <v>45953</v>
      </c>
    </row>
    <row r="126" spans="1:28" ht="12.75">
      <c r="A126" s="56">
        <v>45953.752122094906</v>
      </c>
      <c r="B126" s="51" t="s">
        <v>297</v>
      </c>
      <c r="C126" s="51" t="s">
        <v>29</v>
      </c>
      <c r="D126" s="51" t="s">
        <v>30</v>
      </c>
      <c r="E126" s="51" t="s">
        <v>31</v>
      </c>
      <c r="F126" s="51" t="s">
        <v>32</v>
      </c>
      <c r="G126" s="51" t="s">
        <v>54</v>
      </c>
      <c r="H126" s="51">
        <v>21</v>
      </c>
      <c r="I126" s="51" t="s">
        <v>34</v>
      </c>
      <c r="J126" s="51" t="s">
        <v>64</v>
      </c>
      <c r="K126" s="51" t="s">
        <v>36</v>
      </c>
      <c r="L126" s="51" t="s">
        <v>100</v>
      </c>
      <c r="M126" s="51">
        <v>1</v>
      </c>
      <c r="N126" s="51">
        <v>1</v>
      </c>
      <c r="O126" s="52">
        <v>2.5</v>
      </c>
      <c r="P126" s="51">
        <v>1</v>
      </c>
      <c r="Q126" s="51">
        <v>3</v>
      </c>
      <c r="R126" s="51">
        <v>5</v>
      </c>
      <c r="S126" s="57" t="s">
        <v>192</v>
      </c>
      <c r="T126" s="51" t="s">
        <v>39</v>
      </c>
      <c r="U126" s="51">
        <v>1</v>
      </c>
      <c r="V126" s="51">
        <v>10</v>
      </c>
      <c r="W126" s="51">
        <v>2</v>
      </c>
      <c r="X126" s="51" t="s">
        <v>40</v>
      </c>
      <c r="Y126" s="57" t="s">
        <v>41</v>
      </c>
      <c r="Z126" s="58">
        <v>25</v>
      </c>
      <c r="AA126" s="57" t="s">
        <v>83</v>
      </c>
      <c r="AB126" s="59">
        <f t="shared" si="1"/>
        <v>45953</v>
      </c>
    </row>
    <row r="127" spans="1:28" ht="12.75">
      <c r="A127" s="56">
        <v>45953.810797291662</v>
      </c>
      <c r="B127" s="51" t="s">
        <v>298</v>
      </c>
      <c r="C127" s="51" t="s">
        <v>29</v>
      </c>
      <c r="D127" s="51" t="s">
        <v>30</v>
      </c>
      <c r="E127" s="51" t="s">
        <v>31</v>
      </c>
      <c r="F127" s="51" t="s">
        <v>53</v>
      </c>
      <c r="G127" s="51" t="s">
        <v>54</v>
      </c>
      <c r="H127" s="51">
        <v>21</v>
      </c>
      <c r="I127" s="51" t="s">
        <v>34</v>
      </c>
      <c r="J127" s="51" t="s">
        <v>64</v>
      </c>
      <c r="K127" s="51" t="s">
        <v>36</v>
      </c>
      <c r="L127" s="51" t="s">
        <v>68</v>
      </c>
      <c r="M127" s="51">
        <v>1</v>
      </c>
      <c r="N127" s="51">
        <v>1</v>
      </c>
      <c r="O127" s="52">
        <v>1</v>
      </c>
      <c r="P127" s="51">
        <v>0</v>
      </c>
      <c r="Q127" s="51">
        <v>4</v>
      </c>
      <c r="R127" s="51">
        <v>1</v>
      </c>
      <c r="S127" s="57" t="s">
        <v>135</v>
      </c>
      <c r="T127" s="51" t="s">
        <v>39</v>
      </c>
      <c r="U127" s="51">
        <v>0</v>
      </c>
      <c r="V127" s="51">
        <v>10</v>
      </c>
      <c r="W127" s="51">
        <v>1</v>
      </c>
      <c r="X127" s="51" t="s">
        <v>69</v>
      </c>
      <c r="Y127" s="57" t="s">
        <v>118</v>
      </c>
      <c r="Z127" s="58">
        <v>32.99</v>
      </c>
      <c r="AA127" s="57" t="s">
        <v>139</v>
      </c>
      <c r="AB127" s="59">
        <f t="shared" si="1"/>
        <v>45953</v>
      </c>
    </row>
    <row r="128" spans="1:28" ht="12.75">
      <c r="A128" s="56">
        <v>45953.821324629629</v>
      </c>
      <c r="B128" s="51" t="s">
        <v>299</v>
      </c>
      <c r="C128" s="51" t="s">
        <v>29</v>
      </c>
      <c r="D128" s="51" t="s">
        <v>30</v>
      </c>
      <c r="E128" s="51" t="s">
        <v>31</v>
      </c>
      <c r="F128" s="51" t="s">
        <v>32</v>
      </c>
      <c r="G128" s="51" t="s">
        <v>54</v>
      </c>
      <c r="H128" s="51">
        <v>21</v>
      </c>
      <c r="I128" s="51" t="s">
        <v>34</v>
      </c>
      <c r="J128" s="51" t="s">
        <v>64</v>
      </c>
      <c r="K128" s="51" t="s">
        <v>36</v>
      </c>
      <c r="L128" s="51" t="s">
        <v>74</v>
      </c>
      <c r="M128" s="51">
        <v>1</v>
      </c>
      <c r="N128" s="51">
        <v>1</v>
      </c>
      <c r="O128" s="52">
        <v>0.25</v>
      </c>
      <c r="P128" s="51">
        <v>0</v>
      </c>
      <c r="Q128" s="51">
        <v>2</v>
      </c>
      <c r="R128" s="51">
        <v>2</v>
      </c>
      <c r="S128" s="57" t="s">
        <v>192</v>
      </c>
      <c r="T128" s="51" t="s">
        <v>81</v>
      </c>
      <c r="U128" s="51">
        <v>2</v>
      </c>
      <c r="V128" s="51">
        <v>7</v>
      </c>
      <c r="W128" s="51">
        <v>2</v>
      </c>
      <c r="X128" s="51" t="s">
        <v>40</v>
      </c>
      <c r="Y128" s="57" t="s">
        <v>41</v>
      </c>
      <c r="Z128" s="58">
        <v>0</v>
      </c>
      <c r="AA128" s="57" t="s">
        <v>111</v>
      </c>
      <c r="AB128" s="59">
        <f t="shared" si="1"/>
        <v>45953</v>
      </c>
    </row>
    <row r="129" spans="1:28" ht="12.75">
      <c r="A129" s="56">
        <v>45953.822282731482</v>
      </c>
      <c r="B129" s="51" t="s">
        <v>300</v>
      </c>
      <c r="C129" s="51" t="s">
        <v>29</v>
      </c>
      <c r="D129" s="51" t="s">
        <v>30</v>
      </c>
      <c r="E129" s="51" t="s">
        <v>31</v>
      </c>
      <c r="F129" s="51" t="s">
        <v>53</v>
      </c>
      <c r="G129" s="51" t="s">
        <v>33</v>
      </c>
      <c r="H129" s="51">
        <v>21</v>
      </c>
      <c r="I129" s="51" t="s">
        <v>34</v>
      </c>
      <c r="J129" s="51" t="s">
        <v>79</v>
      </c>
      <c r="K129" s="51" t="s">
        <v>36</v>
      </c>
      <c r="L129" s="51" t="s">
        <v>37</v>
      </c>
      <c r="M129" s="51">
        <v>3</v>
      </c>
      <c r="N129" s="51">
        <v>2</v>
      </c>
      <c r="O129" s="52">
        <v>20</v>
      </c>
      <c r="P129" s="51">
        <v>0</v>
      </c>
      <c r="Q129" s="51">
        <v>5</v>
      </c>
      <c r="R129" s="51">
        <v>3</v>
      </c>
      <c r="S129" s="57" t="s">
        <v>55</v>
      </c>
      <c r="T129" s="51" t="s">
        <v>94</v>
      </c>
      <c r="U129" s="51">
        <v>0</v>
      </c>
      <c r="V129" s="51">
        <v>10</v>
      </c>
      <c r="W129" s="51">
        <v>2</v>
      </c>
      <c r="X129" s="51" t="s">
        <v>50</v>
      </c>
      <c r="Y129" s="57" t="s">
        <v>109</v>
      </c>
      <c r="Z129" s="58">
        <v>13.99</v>
      </c>
      <c r="AA129" s="57" t="s">
        <v>291</v>
      </c>
      <c r="AB129" s="59">
        <f t="shared" si="1"/>
        <v>45953</v>
      </c>
    </row>
    <row r="130" spans="1:28" ht="12.75">
      <c r="A130" s="56">
        <v>45954.398869502314</v>
      </c>
      <c r="B130" s="51" t="s">
        <v>301</v>
      </c>
      <c r="C130" s="51" t="s">
        <v>29</v>
      </c>
      <c r="D130" s="51" t="s">
        <v>30</v>
      </c>
      <c r="E130" s="51" t="s">
        <v>31</v>
      </c>
      <c r="F130" s="51" t="s">
        <v>44</v>
      </c>
      <c r="G130" s="51" t="s">
        <v>54</v>
      </c>
      <c r="H130" s="51">
        <v>21</v>
      </c>
      <c r="I130" s="51" t="s">
        <v>34</v>
      </c>
      <c r="J130" s="51" t="s">
        <v>64</v>
      </c>
      <c r="K130" s="51" t="s">
        <v>36</v>
      </c>
      <c r="L130" s="51" t="s">
        <v>37</v>
      </c>
      <c r="M130" s="51">
        <v>2</v>
      </c>
      <c r="N130" s="51">
        <v>2</v>
      </c>
      <c r="O130" s="52">
        <v>10</v>
      </c>
      <c r="P130" s="51">
        <v>0</v>
      </c>
      <c r="Q130" s="51">
        <v>5</v>
      </c>
      <c r="R130" s="51">
        <v>4</v>
      </c>
      <c r="S130" s="57" t="s">
        <v>48</v>
      </c>
      <c r="T130" s="51" t="s">
        <v>102</v>
      </c>
      <c r="U130" s="51">
        <v>20</v>
      </c>
      <c r="V130" s="51">
        <v>10</v>
      </c>
      <c r="W130" s="51">
        <v>1</v>
      </c>
      <c r="X130" s="51" t="s">
        <v>50</v>
      </c>
      <c r="Y130" s="57" t="s">
        <v>199</v>
      </c>
      <c r="Z130" s="58">
        <v>50</v>
      </c>
      <c r="AA130" s="57" t="s">
        <v>157</v>
      </c>
      <c r="AB130" s="59">
        <f t="shared" ref="AB130:AB193" si="2">INT(A130)</f>
        <v>45954</v>
      </c>
    </row>
    <row r="131" spans="1:28" ht="12.75">
      <c r="A131" s="56">
        <v>45954.409808530094</v>
      </c>
      <c r="B131" s="51" t="s">
        <v>302</v>
      </c>
      <c r="C131" s="51" t="s">
        <v>29</v>
      </c>
      <c r="D131" s="51" t="s">
        <v>30</v>
      </c>
      <c r="E131" s="51" t="s">
        <v>31</v>
      </c>
      <c r="F131" s="51" t="s">
        <v>44</v>
      </c>
      <c r="G131" s="51" t="s">
        <v>54</v>
      </c>
      <c r="H131" s="51">
        <v>21</v>
      </c>
      <c r="I131" s="51" t="s">
        <v>34</v>
      </c>
      <c r="J131" s="51" t="s">
        <v>46</v>
      </c>
      <c r="K131" s="51" t="s">
        <v>36</v>
      </c>
      <c r="L131" s="51" t="s">
        <v>74</v>
      </c>
      <c r="M131" s="51">
        <v>2</v>
      </c>
      <c r="N131" s="51">
        <v>2</v>
      </c>
      <c r="O131" s="52">
        <v>1.5</v>
      </c>
      <c r="P131" s="51">
        <v>0</v>
      </c>
      <c r="Q131" s="51">
        <v>4</v>
      </c>
      <c r="R131" s="51">
        <v>3</v>
      </c>
      <c r="S131" s="57" t="s">
        <v>38</v>
      </c>
      <c r="T131" s="51" t="s">
        <v>49</v>
      </c>
      <c r="U131" s="51">
        <v>2</v>
      </c>
      <c r="V131" s="51">
        <v>9</v>
      </c>
      <c r="W131" s="51">
        <v>1</v>
      </c>
      <c r="X131" s="51" t="s">
        <v>50</v>
      </c>
      <c r="Y131" s="57" t="s">
        <v>82</v>
      </c>
      <c r="Z131" s="58">
        <v>10</v>
      </c>
      <c r="AA131" s="57" t="s">
        <v>42</v>
      </c>
      <c r="AB131" s="59">
        <f t="shared" si="2"/>
        <v>45954</v>
      </c>
    </row>
    <row r="132" spans="1:28" ht="12.75">
      <c r="A132" s="56">
        <v>45954.432936134261</v>
      </c>
      <c r="B132" s="51" t="s">
        <v>303</v>
      </c>
      <c r="C132" s="51" t="s">
        <v>29</v>
      </c>
      <c r="D132" s="51" t="s">
        <v>30</v>
      </c>
      <c r="E132" s="51" t="s">
        <v>31</v>
      </c>
      <c r="F132" s="51" t="s">
        <v>44</v>
      </c>
      <c r="G132" s="51" t="s">
        <v>33</v>
      </c>
      <c r="H132" s="51">
        <v>21</v>
      </c>
      <c r="I132" s="51" t="s">
        <v>34</v>
      </c>
      <c r="J132" s="51" t="s">
        <v>89</v>
      </c>
      <c r="K132" s="51" t="s">
        <v>36</v>
      </c>
      <c r="L132" s="51" t="s">
        <v>100</v>
      </c>
      <c r="M132" s="51">
        <v>1</v>
      </c>
      <c r="N132" s="51">
        <v>1</v>
      </c>
      <c r="O132" s="52">
        <v>0</v>
      </c>
      <c r="P132" s="51">
        <v>0</v>
      </c>
      <c r="Q132" s="51">
        <v>3</v>
      </c>
      <c r="R132" s="51">
        <v>2</v>
      </c>
      <c r="S132" s="57" t="s">
        <v>91</v>
      </c>
      <c r="T132" s="51" t="s">
        <v>49</v>
      </c>
      <c r="U132" s="51">
        <v>2</v>
      </c>
      <c r="V132" s="51">
        <v>8</v>
      </c>
      <c r="W132" s="51">
        <v>2</v>
      </c>
      <c r="X132" s="51" t="s">
        <v>50</v>
      </c>
      <c r="Y132" s="57" t="s">
        <v>97</v>
      </c>
      <c r="Z132" s="58">
        <v>10</v>
      </c>
      <c r="AA132" s="57" t="s">
        <v>219</v>
      </c>
      <c r="AB132" s="59">
        <f t="shared" si="2"/>
        <v>45954</v>
      </c>
    </row>
    <row r="133" spans="1:28" ht="12.75">
      <c r="A133" s="56">
        <v>45954.45379594907</v>
      </c>
      <c r="B133" s="51" t="s">
        <v>304</v>
      </c>
      <c r="C133" s="51" t="s">
        <v>29</v>
      </c>
      <c r="D133" s="51" t="s">
        <v>30</v>
      </c>
      <c r="E133" s="51" t="s">
        <v>31</v>
      </c>
      <c r="F133" s="51" t="s">
        <v>44</v>
      </c>
      <c r="G133" s="51" t="s">
        <v>33</v>
      </c>
      <c r="H133" s="51">
        <v>21</v>
      </c>
      <c r="I133" s="51" t="s">
        <v>45</v>
      </c>
      <c r="J133" s="51" t="s">
        <v>46</v>
      </c>
      <c r="K133" s="51" t="s">
        <v>36</v>
      </c>
      <c r="L133" s="51" t="s">
        <v>74</v>
      </c>
      <c r="M133" s="51">
        <v>2</v>
      </c>
      <c r="N133" s="51">
        <v>2</v>
      </c>
      <c r="O133" s="52">
        <v>1</v>
      </c>
      <c r="P133" s="51">
        <v>0</v>
      </c>
      <c r="Q133" s="51">
        <v>4</v>
      </c>
      <c r="R133" s="51">
        <v>3</v>
      </c>
      <c r="S133" s="57" t="s">
        <v>38</v>
      </c>
      <c r="T133" s="51" t="s">
        <v>49</v>
      </c>
      <c r="U133" s="51">
        <v>2</v>
      </c>
      <c r="V133" s="51">
        <v>8</v>
      </c>
      <c r="W133" s="51">
        <v>3</v>
      </c>
      <c r="X133" s="51" t="s">
        <v>50</v>
      </c>
      <c r="Y133" s="57" t="s">
        <v>41</v>
      </c>
      <c r="Z133" s="58">
        <v>10</v>
      </c>
      <c r="AA133" s="57" t="s">
        <v>122</v>
      </c>
      <c r="AB133" s="59">
        <f t="shared" si="2"/>
        <v>45954</v>
      </c>
    </row>
    <row r="134" spans="1:28" ht="12.75">
      <c r="A134" s="56">
        <v>45954.491669062496</v>
      </c>
      <c r="B134" s="51" t="s">
        <v>305</v>
      </c>
      <c r="C134" s="51" t="s">
        <v>29</v>
      </c>
      <c r="D134" s="51" t="s">
        <v>30</v>
      </c>
      <c r="E134" s="51" t="s">
        <v>31</v>
      </c>
      <c r="F134" s="51" t="s">
        <v>44</v>
      </c>
      <c r="G134" s="51" t="s">
        <v>33</v>
      </c>
      <c r="H134" s="51">
        <v>21</v>
      </c>
      <c r="I134" s="51" t="s">
        <v>45</v>
      </c>
      <c r="J134" s="51" t="s">
        <v>64</v>
      </c>
      <c r="K134" s="51" t="s">
        <v>90</v>
      </c>
      <c r="L134" s="51" t="s">
        <v>47</v>
      </c>
      <c r="M134" s="51">
        <v>1</v>
      </c>
      <c r="N134" s="51">
        <v>1</v>
      </c>
      <c r="O134" s="52">
        <v>0</v>
      </c>
      <c r="P134" s="51">
        <v>0</v>
      </c>
      <c r="Q134" s="51">
        <v>3</v>
      </c>
      <c r="R134" s="51">
        <v>2</v>
      </c>
      <c r="S134" s="57" t="s">
        <v>91</v>
      </c>
      <c r="T134" s="51" t="s">
        <v>81</v>
      </c>
      <c r="U134" s="51">
        <v>1</v>
      </c>
      <c r="V134" s="51">
        <v>7</v>
      </c>
      <c r="W134" s="51">
        <v>2</v>
      </c>
      <c r="X134" s="51" t="s">
        <v>40</v>
      </c>
      <c r="Y134" s="57" t="s">
        <v>106</v>
      </c>
      <c r="Z134" s="58">
        <v>0</v>
      </c>
      <c r="AA134" s="57" t="s">
        <v>157</v>
      </c>
      <c r="AB134" s="59">
        <f t="shared" si="2"/>
        <v>45954</v>
      </c>
    </row>
    <row r="135" spans="1:28" ht="12.75">
      <c r="A135" s="56">
        <v>45954.493535439819</v>
      </c>
      <c r="B135" s="51" t="s">
        <v>306</v>
      </c>
      <c r="C135" s="51" t="s">
        <v>29</v>
      </c>
      <c r="D135" s="51" t="s">
        <v>30</v>
      </c>
      <c r="E135" s="51" t="s">
        <v>31</v>
      </c>
      <c r="F135" s="51" t="s">
        <v>44</v>
      </c>
      <c r="G135" s="51" t="s">
        <v>54</v>
      </c>
      <c r="H135" s="51">
        <v>21</v>
      </c>
      <c r="I135" s="51" t="s">
        <v>34</v>
      </c>
      <c r="J135" s="51" t="s">
        <v>46</v>
      </c>
      <c r="K135" s="51" t="s">
        <v>90</v>
      </c>
      <c r="L135" s="51" t="s">
        <v>47</v>
      </c>
      <c r="M135" s="51">
        <v>1</v>
      </c>
      <c r="N135" s="51">
        <v>1</v>
      </c>
      <c r="O135" s="52">
        <v>0</v>
      </c>
      <c r="P135" s="51">
        <v>0</v>
      </c>
      <c r="Q135" s="51">
        <v>3</v>
      </c>
      <c r="R135" s="51">
        <v>2</v>
      </c>
      <c r="S135" s="57" t="s">
        <v>91</v>
      </c>
      <c r="T135" s="51" t="s">
        <v>81</v>
      </c>
      <c r="U135" s="51">
        <v>0</v>
      </c>
      <c r="V135" s="51">
        <v>7</v>
      </c>
      <c r="W135" s="51">
        <v>2</v>
      </c>
      <c r="X135" s="51" t="s">
        <v>40</v>
      </c>
      <c r="Y135" s="57" t="s">
        <v>106</v>
      </c>
      <c r="Z135" s="58">
        <v>0</v>
      </c>
      <c r="AA135" s="57" t="s">
        <v>154</v>
      </c>
      <c r="AB135" s="59">
        <f t="shared" si="2"/>
        <v>45954</v>
      </c>
    </row>
    <row r="136" spans="1:28" ht="12.75">
      <c r="A136" s="56">
        <v>45954.503444340276</v>
      </c>
      <c r="B136" s="51" t="s">
        <v>307</v>
      </c>
      <c r="C136" s="51" t="s">
        <v>29</v>
      </c>
      <c r="D136" s="51" t="s">
        <v>30</v>
      </c>
      <c r="E136" s="51" t="s">
        <v>31</v>
      </c>
      <c r="F136" s="51" t="s">
        <v>44</v>
      </c>
      <c r="G136" s="51" t="s">
        <v>54</v>
      </c>
      <c r="H136" s="51">
        <v>21</v>
      </c>
      <c r="I136" s="51" t="s">
        <v>34</v>
      </c>
      <c r="J136" s="51" t="s">
        <v>46</v>
      </c>
      <c r="K136" s="51" t="s">
        <v>36</v>
      </c>
      <c r="L136" s="51" t="s">
        <v>74</v>
      </c>
      <c r="M136" s="51">
        <v>2</v>
      </c>
      <c r="N136" s="51">
        <v>2</v>
      </c>
      <c r="O136" s="52">
        <v>1.5</v>
      </c>
      <c r="P136" s="51">
        <v>0</v>
      </c>
      <c r="Q136" s="51">
        <v>4</v>
      </c>
      <c r="R136" s="51">
        <v>3</v>
      </c>
      <c r="S136" s="57" t="s">
        <v>48</v>
      </c>
      <c r="T136" s="51" t="s">
        <v>49</v>
      </c>
      <c r="U136" s="51">
        <v>2</v>
      </c>
      <c r="V136" s="51">
        <v>8</v>
      </c>
      <c r="W136" s="51">
        <v>2</v>
      </c>
      <c r="X136" s="51" t="s">
        <v>50</v>
      </c>
      <c r="Y136" s="57" t="s">
        <v>133</v>
      </c>
      <c r="Z136" s="58">
        <v>10</v>
      </c>
      <c r="AA136" s="57" t="s">
        <v>114</v>
      </c>
      <c r="AB136" s="59">
        <f t="shared" si="2"/>
        <v>45954</v>
      </c>
    </row>
    <row r="137" spans="1:28" ht="12.75">
      <c r="A137" s="56">
        <v>45954.547167453704</v>
      </c>
      <c r="B137" s="51" t="s">
        <v>308</v>
      </c>
      <c r="C137" s="51" t="s">
        <v>29</v>
      </c>
      <c r="D137" s="51" t="s">
        <v>30</v>
      </c>
      <c r="E137" s="51" t="s">
        <v>31</v>
      </c>
      <c r="F137" s="51" t="s">
        <v>44</v>
      </c>
      <c r="G137" s="51" t="s">
        <v>33</v>
      </c>
      <c r="H137" s="51">
        <v>21</v>
      </c>
      <c r="I137" s="51" t="s">
        <v>34</v>
      </c>
      <c r="J137" s="51" t="s">
        <v>46</v>
      </c>
      <c r="K137" s="51" t="s">
        <v>36</v>
      </c>
      <c r="L137" s="51" t="s">
        <v>74</v>
      </c>
      <c r="M137" s="51">
        <v>2</v>
      </c>
      <c r="N137" s="51">
        <v>2</v>
      </c>
      <c r="O137" s="52">
        <v>1</v>
      </c>
      <c r="P137" s="51">
        <v>0</v>
      </c>
      <c r="Q137" s="51">
        <v>4</v>
      </c>
      <c r="R137" s="51">
        <v>3</v>
      </c>
      <c r="S137" s="57" t="s">
        <v>38</v>
      </c>
      <c r="T137" s="51" t="s">
        <v>49</v>
      </c>
      <c r="U137" s="51">
        <v>1</v>
      </c>
      <c r="V137" s="51">
        <v>8</v>
      </c>
      <c r="W137" s="51">
        <v>2</v>
      </c>
      <c r="X137" s="51" t="s">
        <v>50</v>
      </c>
      <c r="Y137" s="57" t="s">
        <v>106</v>
      </c>
      <c r="Z137" s="58">
        <v>5</v>
      </c>
      <c r="AA137" s="57" t="s">
        <v>116</v>
      </c>
      <c r="AB137" s="59">
        <f t="shared" si="2"/>
        <v>45954</v>
      </c>
    </row>
    <row r="138" spans="1:28" ht="12.75">
      <c r="A138" s="56">
        <v>45954.564378206022</v>
      </c>
      <c r="B138" s="51" t="s">
        <v>309</v>
      </c>
      <c r="C138" s="51" t="s">
        <v>29</v>
      </c>
      <c r="D138" s="51" t="s">
        <v>30</v>
      </c>
      <c r="E138" s="51" t="s">
        <v>31</v>
      </c>
      <c r="F138" s="51" t="s">
        <v>44</v>
      </c>
      <c r="G138" s="51" t="s">
        <v>33</v>
      </c>
      <c r="H138" s="51">
        <v>21</v>
      </c>
      <c r="I138" s="51" t="s">
        <v>34</v>
      </c>
      <c r="J138" s="51" t="s">
        <v>46</v>
      </c>
      <c r="K138" s="51" t="s">
        <v>36</v>
      </c>
      <c r="L138" s="51" t="s">
        <v>74</v>
      </c>
      <c r="M138" s="51">
        <v>2</v>
      </c>
      <c r="N138" s="51">
        <v>2</v>
      </c>
      <c r="O138" s="52">
        <v>1.5</v>
      </c>
      <c r="P138" s="51">
        <v>0</v>
      </c>
      <c r="Q138" s="51">
        <v>4</v>
      </c>
      <c r="R138" s="51">
        <v>3</v>
      </c>
      <c r="S138" s="57" t="s">
        <v>38</v>
      </c>
      <c r="T138" s="51" t="s">
        <v>49</v>
      </c>
      <c r="U138" s="51">
        <v>1</v>
      </c>
      <c r="V138" s="51">
        <v>8</v>
      </c>
      <c r="W138" s="51">
        <v>2</v>
      </c>
      <c r="X138" s="51" t="s">
        <v>50</v>
      </c>
      <c r="Y138" s="57" t="s">
        <v>41</v>
      </c>
      <c r="Z138" s="58">
        <v>10</v>
      </c>
      <c r="AA138" s="57" t="s">
        <v>83</v>
      </c>
      <c r="AB138" s="59">
        <f t="shared" si="2"/>
        <v>45954</v>
      </c>
    </row>
    <row r="139" spans="1:28" ht="12.75">
      <c r="A139" s="56">
        <v>45954.567349004632</v>
      </c>
      <c r="B139" s="51" t="s">
        <v>310</v>
      </c>
      <c r="C139" s="51" t="s">
        <v>29</v>
      </c>
      <c r="D139" s="51" t="s">
        <v>30</v>
      </c>
      <c r="E139" s="51" t="s">
        <v>31</v>
      </c>
      <c r="F139" s="51" t="s">
        <v>44</v>
      </c>
      <c r="G139" s="51" t="s">
        <v>54</v>
      </c>
      <c r="H139" s="51">
        <v>21</v>
      </c>
      <c r="I139" s="51" t="s">
        <v>45</v>
      </c>
      <c r="J139" s="51" t="s">
        <v>46</v>
      </c>
      <c r="K139" s="51" t="s">
        <v>36</v>
      </c>
      <c r="L139" s="51" t="s">
        <v>74</v>
      </c>
      <c r="M139" s="51">
        <v>2</v>
      </c>
      <c r="N139" s="51">
        <v>2</v>
      </c>
      <c r="O139" s="52">
        <v>1</v>
      </c>
      <c r="P139" s="51">
        <v>0</v>
      </c>
      <c r="Q139" s="51">
        <v>4</v>
      </c>
      <c r="R139" s="51">
        <v>3</v>
      </c>
      <c r="S139" s="57" t="s">
        <v>38</v>
      </c>
      <c r="T139" s="51" t="s">
        <v>49</v>
      </c>
      <c r="U139" s="51">
        <v>1</v>
      </c>
      <c r="V139" s="51">
        <v>8</v>
      </c>
      <c r="W139" s="51">
        <v>2</v>
      </c>
      <c r="X139" s="51" t="s">
        <v>50</v>
      </c>
      <c r="Y139" s="57" t="s">
        <v>82</v>
      </c>
      <c r="Z139" s="58">
        <v>5</v>
      </c>
      <c r="AA139" s="57" t="s">
        <v>83</v>
      </c>
      <c r="AB139" s="59">
        <f t="shared" si="2"/>
        <v>45954</v>
      </c>
    </row>
    <row r="140" spans="1:28" ht="12.75">
      <c r="A140" s="56">
        <v>45954.586912060186</v>
      </c>
      <c r="B140" s="51" t="s">
        <v>311</v>
      </c>
      <c r="C140" s="51" t="s">
        <v>29</v>
      </c>
      <c r="D140" s="51" t="s">
        <v>30</v>
      </c>
      <c r="E140" s="51" t="s">
        <v>31</v>
      </c>
      <c r="F140" s="51" t="s">
        <v>44</v>
      </c>
      <c r="G140" s="51" t="s">
        <v>33</v>
      </c>
      <c r="H140" s="51">
        <v>21</v>
      </c>
      <c r="I140" s="51" t="s">
        <v>45</v>
      </c>
      <c r="J140" s="51" t="s">
        <v>46</v>
      </c>
      <c r="K140" s="51" t="s">
        <v>36</v>
      </c>
      <c r="L140" s="51" t="s">
        <v>74</v>
      </c>
      <c r="M140" s="51">
        <v>2</v>
      </c>
      <c r="N140" s="51">
        <v>2</v>
      </c>
      <c r="O140" s="52">
        <v>1</v>
      </c>
      <c r="P140" s="51">
        <v>0</v>
      </c>
      <c r="Q140" s="51">
        <v>4</v>
      </c>
      <c r="R140" s="51">
        <v>3</v>
      </c>
      <c r="S140" s="57" t="s">
        <v>38</v>
      </c>
      <c r="T140" s="51" t="s">
        <v>49</v>
      </c>
      <c r="U140" s="51">
        <v>2</v>
      </c>
      <c r="V140" s="51">
        <v>8</v>
      </c>
      <c r="W140" s="51">
        <v>2</v>
      </c>
      <c r="X140" s="51" t="s">
        <v>50</v>
      </c>
      <c r="Y140" s="57" t="s">
        <v>41</v>
      </c>
      <c r="Z140" s="58">
        <v>10</v>
      </c>
      <c r="AA140" s="57" t="s">
        <v>122</v>
      </c>
      <c r="AB140" s="59">
        <f t="shared" si="2"/>
        <v>45954</v>
      </c>
    </row>
    <row r="141" spans="1:28" ht="12.75">
      <c r="A141" s="56">
        <v>45954.693809293982</v>
      </c>
      <c r="B141" s="51" t="s">
        <v>312</v>
      </c>
      <c r="C141" s="51" t="s">
        <v>29</v>
      </c>
      <c r="D141" s="51" t="s">
        <v>30</v>
      </c>
      <c r="E141" s="51" t="s">
        <v>31</v>
      </c>
      <c r="F141" s="51" t="s">
        <v>44</v>
      </c>
      <c r="G141" s="51" t="s">
        <v>54</v>
      </c>
      <c r="H141" s="51">
        <v>21</v>
      </c>
      <c r="I141" s="51" t="s">
        <v>34</v>
      </c>
      <c r="J141" s="51" t="s">
        <v>46</v>
      </c>
      <c r="K141" s="51" t="s">
        <v>36</v>
      </c>
      <c r="L141" s="51" t="s">
        <v>68</v>
      </c>
      <c r="M141" s="51">
        <v>3</v>
      </c>
      <c r="N141" s="51">
        <v>2</v>
      </c>
      <c r="O141" s="52">
        <v>2</v>
      </c>
      <c r="P141" s="51">
        <v>1</v>
      </c>
      <c r="Q141" s="51">
        <v>4</v>
      </c>
      <c r="R141" s="51">
        <v>4</v>
      </c>
      <c r="S141" s="57" t="s">
        <v>48</v>
      </c>
      <c r="T141" s="51" t="s">
        <v>49</v>
      </c>
      <c r="U141" s="51">
        <v>2</v>
      </c>
      <c r="V141" s="51">
        <v>8</v>
      </c>
      <c r="W141" s="51">
        <v>2</v>
      </c>
      <c r="X141" s="51" t="s">
        <v>50</v>
      </c>
      <c r="Y141" s="57" t="s">
        <v>61</v>
      </c>
      <c r="Z141" s="58">
        <v>10</v>
      </c>
      <c r="AA141" s="57" t="s">
        <v>147</v>
      </c>
      <c r="AB141" s="59">
        <f t="shared" si="2"/>
        <v>45954</v>
      </c>
    </row>
    <row r="142" spans="1:28" ht="12.75">
      <c r="A142" s="56">
        <v>45954.730540208329</v>
      </c>
      <c r="B142" s="51" t="s">
        <v>313</v>
      </c>
      <c r="C142" s="51" t="s">
        <v>29</v>
      </c>
      <c r="D142" s="51" t="s">
        <v>30</v>
      </c>
      <c r="E142" s="51" t="s">
        <v>31</v>
      </c>
      <c r="F142" s="51" t="s">
        <v>44</v>
      </c>
      <c r="G142" s="51" t="s">
        <v>33</v>
      </c>
      <c r="H142" s="51">
        <v>21</v>
      </c>
      <c r="I142" s="51" t="s">
        <v>34</v>
      </c>
      <c r="J142" s="51" t="s">
        <v>46</v>
      </c>
      <c r="K142" s="51" t="s">
        <v>36</v>
      </c>
      <c r="L142" s="51" t="s">
        <v>74</v>
      </c>
      <c r="M142" s="51">
        <v>2</v>
      </c>
      <c r="N142" s="51">
        <v>2</v>
      </c>
      <c r="O142" s="52">
        <v>2</v>
      </c>
      <c r="P142" s="51">
        <v>0</v>
      </c>
      <c r="Q142" s="51">
        <v>4</v>
      </c>
      <c r="R142" s="51">
        <v>3</v>
      </c>
      <c r="S142" s="57" t="s">
        <v>55</v>
      </c>
      <c r="T142" s="51" t="s">
        <v>49</v>
      </c>
      <c r="U142" s="51">
        <v>1</v>
      </c>
      <c r="V142" s="51">
        <v>8</v>
      </c>
      <c r="W142" s="51">
        <v>3</v>
      </c>
      <c r="X142" s="51" t="s">
        <v>50</v>
      </c>
      <c r="Y142" s="57" t="s">
        <v>82</v>
      </c>
      <c r="Z142" s="58">
        <v>10</v>
      </c>
      <c r="AA142" s="57" t="s">
        <v>122</v>
      </c>
      <c r="AB142" s="59">
        <f t="shared" si="2"/>
        <v>45954</v>
      </c>
    </row>
    <row r="143" spans="1:28" ht="12.75">
      <c r="A143" s="56">
        <v>45954.746935335643</v>
      </c>
      <c r="B143" s="51" t="s">
        <v>314</v>
      </c>
      <c r="C143" s="51" t="s">
        <v>29</v>
      </c>
      <c r="D143" s="51" t="s">
        <v>30</v>
      </c>
      <c r="E143" s="51" t="s">
        <v>31</v>
      </c>
      <c r="F143" s="51" t="s">
        <v>85</v>
      </c>
      <c r="G143" s="51" t="s">
        <v>33</v>
      </c>
      <c r="H143" s="51">
        <v>21</v>
      </c>
      <c r="I143" s="51" t="s">
        <v>34</v>
      </c>
      <c r="J143" s="51" t="s">
        <v>79</v>
      </c>
      <c r="K143" s="51" t="s">
        <v>90</v>
      </c>
      <c r="L143" s="51" t="s">
        <v>47</v>
      </c>
      <c r="M143" s="51">
        <v>1</v>
      </c>
      <c r="N143" s="51">
        <v>1</v>
      </c>
      <c r="O143" s="52">
        <v>0</v>
      </c>
      <c r="P143" s="51">
        <v>0</v>
      </c>
      <c r="Q143" s="51">
        <v>3</v>
      </c>
      <c r="R143" s="51">
        <v>2</v>
      </c>
      <c r="S143" s="57" t="s">
        <v>315</v>
      </c>
      <c r="T143" s="51" t="s">
        <v>81</v>
      </c>
      <c r="U143" s="51">
        <v>3</v>
      </c>
      <c r="V143" s="51">
        <v>10</v>
      </c>
      <c r="W143" s="51">
        <v>2</v>
      </c>
      <c r="X143" s="51" t="s">
        <v>40</v>
      </c>
      <c r="Y143" s="57" t="s">
        <v>199</v>
      </c>
      <c r="Z143" s="58">
        <v>0</v>
      </c>
      <c r="AA143" s="57" t="s">
        <v>83</v>
      </c>
      <c r="AB143" s="59">
        <f t="shared" si="2"/>
        <v>45954</v>
      </c>
    </row>
    <row r="144" spans="1:28" ht="12.75">
      <c r="A144" s="56">
        <v>45954.753031053246</v>
      </c>
      <c r="B144" s="51" t="s">
        <v>316</v>
      </c>
      <c r="C144" s="51" t="s">
        <v>29</v>
      </c>
      <c r="D144" s="51" t="s">
        <v>30</v>
      </c>
      <c r="E144" s="51" t="s">
        <v>31</v>
      </c>
      <c r="F144" s="51" t="s">
        <v>44</v>
      </c>
      <c r="G144" s="51" t="s">
        <v>33</v>
      </c>
      <c r="H144" s="51">
        <v>21</v>
      </c>
      <c r="I144" s="51" t="s">
        <v>45</v>
      </c>
      <c r="J144" s="51" t="s">
        <v>89</v>
      </c>
      <c r="K144" s="51" t="s">
        <v>90</v>
      </c>
      <c r="L144" s="51" t="s">
        <v>47</v>
      </c>
      <c r="M144" s="51">
        <v>1</v>
      </c>
      <c r="N144" s="51">
        <v>1</v>
      </c>
      <c r="O144" s="52">
        <v>0</v>
      </c>
      <c r="P144" s="51">
        <v>0</v>
      </c>
      <c r="Q144" s="51">
        <v>3</v>
      </c>
      <c r="R144" s="51">
        <v>2</v>
      </c>
      <c r="S144" s="57" t="s">
        <v>91</v>
      </c>
      <c r="T144" s="51" t="s">
        <v>81</v>
      </c>
      <c r="U144" s="51">
        <v>0</v>
      </c>
      <c r="V144" s="51">
        <v>6</v>
      </c>
      <c r="W144" s="51">
        <v>1</v>
      </c>
      <c r="X144" s="51" t="s">
        <v>40</v>
      </c>
      <c r="Y144" s="57" t="s">
        <v>41</v>
      </c>
      <c r="Z144" s="58">
        <v>0</v>
      </c>
      <c r="AA144" s="57" t="s">
        <v>317</v>
      </c>
      <c r="AB144" s="59">
        <f t="shared" si="2"/>
        <v>45954</v>
      </c>
    </row>
    <row r="145" spans="1:28" ht="12.75">
      <c r="A145" s="56">
        <v>45954.765421006945</v>
      </c>
      <c r="B145" s="51" t="s">
        <v>318</v>
      </c>
      <c r="C145" s="51" t="s">
        <v>29</v>
      </c>
      <c r="D145" s="51" t="s">
        <v>30</v>
      </c>
      <c r="E145" s="51" t="s">
        <v>31</v>
      </c>
      <c r="F145" s="51" t="s">
        <v>85</v>
      </c>
      <c r="G145" s="51" t="s">
        <v>54</v>
      </c>
      <c r="H145" s="51">
        <v>21</v>
      </c>
      <c r="I145" s="51" t="s">
        <v>34</v>
      </c>
      <c r="J145" s="51" t="s">
        <v>64</v>
      </c>
      <c r="K145" s="51" t="s">
        <v>36</v>
      </c>
      <c r="L145" s="51" t="s">
        <v>74</v>
      </c>
      <c r="M145" s="51">
        <v>3</v>
      </c>
      <c r="N145" s="51">
        <v>4</v>
      </c>
      <c r="O145" s="52">
        <v>3</v>
      </c>
      <c r="P145" s="51">
        <v>1</v>
      </c>
      <c r="Q145" s="51">
        <v>3</v>
      </c>
      <c r="R145" s="51">
        <v>3</v>
      </c>
      <c r="S145" s="57" t="s">
        <v>141</v>
      </c>
      <c r="T145" s="51" t="s">
        <v>49</v>
      </c>
      <c r="U145" s="51">
        <v>3</v>
      </c>
      <c r="V145" s="51">
        <v>8</v>
      </c>
      <c r="W145" s="51">
        <v>3</v>
      </c>
      <c r="X145" s="51" t="s">
        <v>50</v>
      </c>
      <c r="Y145" s="57" t="s">
        <v>201</v>
      </c>
      <c r="Z145" s="58">
        <v>150</v>
      </c>
      <c r="AA145" s="57" t="s">
        <v>250</v>
      </c>
      <c r="AB145" s="59">
        <f t="shared" si="2"/>
        <v>45954</v>
      </c>
    </row>
    <row r="146" spans="1:28" ht="12.75">
      <c r="A146" s="56">
        <v>45954.766790914349</v>
      </c>
      <c r="B146" s="51" t="s">
        <v>319</v>
      </c>
      <c r="C146" s="51" t="s">
        <v>29</v>
      </c>
      <c r="D146" s="51" t="s">
        <v>30</v>
      </c>
      <c r="E146" s="51" t="s">
        <v>31</v>
      </c>
      <c r="F146" s="51" t="s">
        <v>85</v>
      </c>
      <c r="G146" s="51" t="s">
        <v>54</v>
      </c>
      <c r="H146" s="51">
        <v>21</v>
      </c>
      <c r="I146" s="51" t="s">
        <v>34</v>
      </c>
      <c r="J146" s="51" t="s">
        <v>64</v>
      </c>
      <c r="K146" s="51" t="s">
        <v>36</v>
      </c>
      <c r="L146" s="51" t="s">
        <v>74</v>
      </c>
      <c r="M146" s="51">
        <v>3</v>
      </c>
      <c r="N146" s="51">
        <v>2</v>
      </c>
      <c r="O146" s="52">
        <v>1.3</v>
      </c>
      <c r="P146" s="51">
        <v>0</v>
      </c>
      <c r="Q146" s="51">
        <v>2</v>
      </c>
      <c r="R146" s="51">
        <v>2</v>
      </c>
      <c r="S146" s="57" t="s">
        <v>207</v>
      </c>
      <c r="T146" s="51" t="s">
        <v>49</v>
      </c>
      <c r="U146" s="51">
        <v>2</v>
      </c>
      <c r="V146" s="51">
        <v>7</v>
      </c>
      <c r="W146" s="51">
        <v>4</v>
      </c>
      <c r="X146" s="51" t="s">
        <v>69</v>
      </c>
      <c r="Y146" s="57" t="s">
        <v>231</v>
      </c>
      <c r="Z146" s="58">
        <v>0</v>
      </c>
      <c r="AA146" s="57" t="s">
        <v>71</v>
      </c>
      <c r="AB146" s="59">
        <f t="shared" si="2"/>
        <v>45954</v>
      </c>
    </row>
    <row r="147" spans="1:28" ht="12.75">
      <c r="A147" s="56">
        <v>45954.768259687495</v>
      </c>
      <c r="B147" s="51" t="s">
        <v>320</v>
      </c>
      <c r="C147" s="51" t="s">
        <v>29</v>
      </c>
      <c r="D147" s="51" t="s">
        <v>30</v>
      </c>
      <c r="E147" s="51" t="s">
        <v>31</v>
      </c>
      <c r="F147" s="51" t="s">
        <v>85</v>
      </c>
      <c r="G147" s="51" t="s">
        <v>33</v>
      </c>
      <c r="H147" s="51">
        <v>21</v>
      </c>
      <c r="I147" s="51" t="s">
        <v>34</v>
      </c>
      <c r="J147" s="51" t="s">
        <v>64</v>
      </c>
      <c r="K147" s="51" t="s">
        <v>36</v>
      </c>
      <c r="L147" s="51" t="s">
        <v>74</v>
      </c>
      <c r="M147" s="51">
        <v>3</v>
      </c>
      <c r="N147" s="51">
        <v>3</v>
      </c>
      <c r="O147" s="52">
        <v>4</v>
      </c>
      <c r="P147" s="51">
        <v>2</v>
      </c>
      <c r="Q147" s="51">
        <v>4</v>
      </c>
      <c r="R147" s="51">
        <v>5</v>
      </c>
      <c r="S147" s="57" t="s">
        <v>249</v>
      </c>
      <c r="T147" s="51" t="s">
        <v>39</v>
      </c>
      <c r="U147" s="51">
        <v>3</v>
      </c>
      <c r="V147" s="51">
        <v>7</v>
      </c>
      <c r="W147" s="51">
        <v>4</v>
      </c>
      <c r="X147" s="51" t="s">
        <v>50</v>
      </c>
      <c r="Y147" s="57" t="s">
        <v>201</v>
      </c>
      <c r="Z147" s="58">
        <v>0</v>
      </c>
      <c r="AA147" s="57" t="s">
        <v>139</v>
      </c>
      <c r="AB147" s="59">
        <f t="shared" si="2"/>
        <v>45954</v>
      </c>
    </row>
    <row r="148" spans="1:28" ht="12.75">
      <c r="A148" s="56">
        <v>45954.782290335643</v>
      </c>
      <c r="B148" s="51" t="s">
        <v>321</v>
      </c>
      <c r="C148" s="51" t="s">
        <v>29</v>
      </c>
      <c r="D148" s="51" t="s">
        <v>30</v>
      </c>
      <c r="E148" s="51" t="s">
        <v>31</v>
      </c>
      <c r="F148" s="51" t="s">
        <v>85</v>
      </c>
      <c r="G148" s="51" t="s">
        <v>33</v>
      </c>
      <c r="H148" s="51">
        <v>21</v>
      </c>
      <c r="I148" s="51" t="s">
        <v>45</v>
      </c>
      <c r="J148" s="51" t="s">
        <v>64</v>
      </c>
      <c r="K148" s="51" t="s">
        <v>36</v>
      </c>
      <c r="L148" s="51" t="s">
        <v>74</v>
      </c>
      <c r="M148" s="51">
        <v>3</v>
      </c>
      <c r="N148" s="51">
        <v>2</v>
      </c>
      <c r="O148" s="52">
        <v>2</v>
      </c>
      <c r="P148" s="51">
        <v>0</v>
      </c>
      <c r="Q148" s="51">
        <v>3</v>
      </c>
      <c r="R148" s="51">
        <v>2</v>
      </c>
      <c r="S148" s="57" t="s">
        <v>141</v>
      </c>
      <c r="T148" s="51" t="s">
        <v>49</v>
      </c>
      <c r="U148" s="51">
        <v>2</v>
      </c>
      <c r="V148" s="51">
        <v>9</v>
      </c>
      <c r="W148" s="51">
        <v>2</v>
      </c>
      <c r="X148" s="51" t="s">
        <v>40</v>
      </c>
      <c r="Y148" s="57" t="s">
        <v>262</v>
      </c>
      <c r="Z148" s="58">
        <v>50</v>
      </c>
      <c r="AA148" s="57" t="s">
        <v>184</v>
      </c>
      <c r="AB148" s="59">
        <f t="shared" si="2"/>
        <v>45954</v>
      </c>
    </row>
    <row r="149" spans="1:28" ht="12.75">
      <c r="A149" s="56">
        <v>45954.791416944441</v>
      </c>
      <c r="B149" s="51" t="s">
        <v>322</v>
      </c>
      <c r="C149" s="51" t="s">
        <v>29</v>
      </c>
      <c r="D149" s="51" t="s">
        <v>30</v>
      </c>
      <c r="E149" s="51" t="s">
        <v>31</v>
      </c>
      <c r="F149" s="51" t="s">
        <v>85</v>
      </c>
      <c r="G149" s="51" t="s">
        <v>54</v>
      </c>
      <c r="H149" s="51">
        <v>21</v>
      </c>
      <c r="I149" s="51" t="s">
        <v>34</v>
      </c>
      <c r="J149" s="51" t="s">
        <v>46</v>
      </c>
      <c r="K149" s="51" t="s">
        <v>90</v>
      </c>
      <c r="L149" s="51" t="s">
        <v>47</v>
      </c>
      <c r="M149" s="51">
        <v>1</v>
      </c>
      <c r="N149" s="51">
        <v>1</v>
      </c>
      <c r="O149" s="52">
        <v>0</v>
      </c>
      <c r="P149" s="51">
        <v>0</v>
      </c>
      <c r="Q149" s="51">
        <v>1</v>
      </c>
      <c r="R149" s="51">
        <v>1</v>
      </c>
      <c r="S149" s="57" t="s">
        <v>38</v>
      </c>
      <c r="T149" s="51" t="s">
        <v>81</v>
      </c>
      <c r="U149" s="51">
        <v>0</v>
      </c>
      <c r="V149" s="51">
        <v>9</v>
      </c>
      <c r="W149" s="51">
        <v>1</v>
      </c>
      <c r="X149" s="51" t="s">
        <v>40</v>
      </c>
      <c r="Y149" s="57" t="s">
        <v>82</v>
      </c>
      <c r="Z149" s="58">
        <v>0</v>
      </c>
      <c r="AA149" s="57" t="s">
        <v>83</v>
      </c>
      <c r="AB149" s="59">
        <f t="shared" si="2"/>
        <v>45954</v>
      </c>
    </row>
    <row r="150" spans="1:28" ht="12.75">
      <c r="A150" s="56">
        <v>45954.799262488421</v>
      </c>
      <c r="B150" s="51" t="s">
        <v>323</v>
      </c>
      <c r="C150" s="51" t="s">
        <v>29</v>
      </c>
      <c r="D150" s="51" t="s">
        <v>30</v>
      </c>
      <c r="E150" s="51" t="s">
        <v>31</v>
      </c>
      <c r="F150" s="51" t="s">
        <v>32</v>
      </c>
      <c r="G150" s="51" t="s">
        <v>54</v>
      </c>
      <c r="H150" s="51">
        <v>21</v>
      </c>
      <c r="I150" s="51" t="s">
        <v>324</v>
      </c>
      <c r="J150" s="51" t="s">
        <v>46</v>
      </c>
      <c r="K150" s="51" t="s">
        <v>36</v>
      </c>
      <c r="L150" s="51" t="s">
        <v>37</v>
      </c>
      <c r="M150" s="51">
        <v>2</v>
      </c>
      <c r="N150" s="51">
        <v>2</v>
      </c>
      <c r="O150" s="52">
        <v>10</v>
      </c>
      <c r="P150" s="51">
        <v>0</v>
      </c>
      <c r="Q150" s="51">
        <v>4</v>
      </c>
      <c r="R150" s="51">
        <v>4</v>
      </c>
      <c r="S150" s="57" t="s">
        <v>141</v>
      </c>
      <c r="T150" s="51" t="s">
        <v>39</v>
      </c>
      <c r="U150" s="51">
        <v>2</v>
      </c>
      <c r="V150" s="51">
        <v>7</v>
      </c>
      <c r="W150" s="51">
        <v>1</v>
      </c>
      <c r="X150" s="51" t="s">
        <v>50</v>
      </c>
      <c r="Y150" s="57" t="s">
        <v>95</v>
      </c>
      <c r="Z150" s="58">
        <v>0</v>
      </c>
      <c r="AA150" s="57" t="s">
        <v>254</v>
      </c>
      <c r="AB150" s="59">
        <f t="shared" si="2"/>
        <v>45954</v>
      </c>
    </row>
    <row r="151" spans="1:28" ht="12.75">
      <c r="A151" s="56">
        <v>45954.802227060187</v>
      </c>
      <c r="B151" s="51" t="s">
        <v>325</v>
      </c>
      <c r="C151" s="51" t="s">
        <v>29</v>
      </c>
      <c r="D151" s="51" t="s">
        <v>30</v>
      </c>
      <c r="E151" s="51" t="s">
        <v>31</v>
      </c>
      <c r="F151" s="51" t="s">
        <v>85</v>
      </c>
      <c r="G151" s="51" t="s">
        <v>33</v>
      </c>
      <c r="H151" s="51">
        <v>21</v>
      </c>
      <c r="I151" s="51" t="s">
        <v>34</v>
      </c>
      <c r="J151" s="51" t="s">
        <v>64</v>
      </c>
      <c r="K151" s="51" t="s">
        <v>90</v>
      </c>
      <c r="L151" s="51" t="s">
        <v>47</v>
      </c>
      <c r="M151" s="51">
        <v>1</v>
      </c>
      <c r="N151" s="51">
        <v>1</v>
      </c>
      <c r="O151" s="52">
        <v>0</v>
      </c>
      <c r="P151" s="51">
        <v>0</v>
      </c>
      <c r="Q151" s="51">
        <v>1</v>
      </c>
      <c r="R151" s="51">
        <v>1</v>
      </c>
      <c r="S151" s="57" t="s">
        <v>80</v>
      </c>
      <c r="T151" s="51" t="s">
        <v>81</v>
      </c>
      <c r="U151" s="51">
        <v>0</v>
      </c>
      <c r="V151" s="51">
        <v>4</v>
      </c>
      <c r="W151" s="51">
        <v>1</v>
      </c>
      <c r="X151" s="51" t="s">
        <v>60</v>
      </c>
      <c r="Y151" s="57" t="s">
        <v>177</v>
      </c>
      <c r="Z151" s="58">
        <v>0</v>
      </c>
      <c r="AA151" s="57" t="s">
        <v>122</v>
      </c>
      <c r="AB151" s="59">
        <f t="shared" si="2"/>
        <v>45954</v>
      </c>
    </row>
    <row r="152" spans="1:28" ht="12.75">
      <c r="A152" s="56">
        <v>45954.805177372684</v>
      </c>
      <c r="B152" s="51" t="s">
        <v>326</v>
      </c>
      <c r="C152" s="51" t="s">
        <v>29</v>
      </c>
      <c r="D152" s="51" t="s">
        <v>30</v>
      </c>
      <c r="E152" s="51" t="s">
        <v>31</v>
      </c>
      <c r="F152" s="51" t="s">
        <v>85</v>
      </c>
      <c r="G152" s="51" t="s">
        <v>54</v>
      </c>
      <c r="H152" s="51">
        <v>21</v>
      </c>
      <c r="I152" s="51" t="s">
        <v>34</v>
      </c>
      <c r="J152" s="51" t="s">
        <v>46</v>
      </c>
      <c r="K152" s="51" t="s">
        <v>90</v>
      </c>
      <c r="L152" s="51" t="s">
        <v>47</v>
      </c>
      <c r="M152" s="51">
        <v>1</v>
      </c>
      <c r="N152" s="51">
        <v>1</v>
      </c>
      <c r="O152" s="52">
        <v>0</v>
      </c>
      <c r="P152" s="51">
        <v>0</v>
      </c>
      <c r="Q152" s="51">
        <v>1</v>
      </c>
      <c r="R152" s="51">
        <v>1</v>
      </c>
      <c r="S152" s="57" t="s">
        <v>48</v>
      </c>
      <c r="T152" s="51" t="s">
        <v>81</v>
      </c>
      <c r="U152" s="51">
        <v>0</v>
      </c>
      <c r="V152" s="51">
        <v>4</v>
      </c>
      <c r="W152" s="51">
        <v>1</v>
      </c>
      <c r="X152" s="51" t="s">
        <v>60</v>
      </c>
      <c r="Y152" s="57" t="s">
        <v>82</v>
      </c>
      <c r="Z152" s="58">
        <v>0</v>
      </c>
      <c r="AA152" s="57" t="s">
        <v>154</v>
      </c>
      <c r="AB152" s="59">
        <f t="shared" si="2"/>
        <v>45954</v>
      </c>
    </row>
    <row r="153" spans="1:28" ht="12.75">
      <c r="A153" s="56">
        <v>45954.827580844911</v>
      </c>
      <c r="B153" s="51" t="s">
        <v>327</v>
      </c>
      <c r="C153" s="51" t="s">
        <v>29</v>
      </c>
      <c r="D153" s="51" t="s">
        <v>30</v>
      </c>
      <c r="E153" s="51" t="s">
        <v>31</v>
      </c>
      <c r="F153" s="51" t="s">
        <v>85</v>
      </c>
      <c r="G153" s="51" t="s">
        <v>54</v>
      </c>
      <c r="H153" s="51">
        <v>21</v>
      </c>
      <c r="I153" s="51" t="s">
        <v>34</v>
      </c>
      <c r="J153" s="51" t="s">
        <v>64</v>
      </c>
      <c r="K153" s="51" t="s">
        <v>36</v>
      </c>
      <c r="L153" s="51" t="s">
        <v>74</v>
      </c>
      <c r="M153" s="51">
        <v>3</v>
      </c>
      <c r="N153" s="51">
        <v>2</v>
      </c>
      <c r="O153" s="52">
        <v>2</v>
      </c>
      <c r="P153" s="51">
        <v>0</v>
      </c>
      <c r="Q153" s="51">
        <v>1</v>
      </c>
      <c r="R153" s="51">
        <v>2</v>
      </c>
      <c r="S153" s="57" t="s">
        <v>192</v>
      </c>
      <c r="T153" s="51" t="s">
        <v>49</v>
      </c>
      <c r="U153" s="51">
        <v>4</v>
      </c>
      <c r="V153" s="51">
        <v>7</v>
      </c>
      <c r="W153" s="51">
        <v>2</v>
      </c>
      <c r="X153" s="51" t="s">
        <v>50</v>
      </c>
      <c r="Y153" s="57" t="s">
        <v>328</v>
      </c>
      <c r="Z153" s="58">
        <v>0</v>
      </c>
      <c r="AA153" s="57" t="s">
        <v>128</v>
      </c>
      <c r="AB153" s="59">
        <f t="shared" si="2"/>
        <v>45954</v>
      </c>
    </row>
    <row r="154" spans="1:28" ht="12.75">
      <c r="A154" s="56">
        <v>45954.831114942128</v>
      </c>
      <c r="B154" s="51" t="s">
        <v>329</v>
      </c>
      <c r="C154" s="51" t="s">
        <v>29</v>
      </c>
      <c r="D154" s="51" t="s">
        <v>30</v>
      </c>
      <c r="E154" s="51" t="s">
        <v>31</v>
      </c>
      <c r="F154" s="51" t="s">
        <v>85</v>
      </c>
      <c r="G154" s="51" t="s">
        <v>54</v>
      </c>
      <c r="H154" s="51">
        <v>21</v>
      </c>
      <c r="I154" s="51" t="s">
        <v>34</v>
      </c>
      <c r="J154" s="51" t="s">
        <v>64</v>
      </c>
      <c r="K154" s="51" t="s">
        <v>36</v>
      </c>
      <c r="L154" s="51" t="s">
        <v>74</v>
      </c>
      <c r="M154" s="51">
        <v>1</v>
      </c>
      <c r="N154" s="51">
        <v>2</v>
      </c>
      <c r="O154" s="52">
        <v>2</v>
      </c>
      <c r="P154" s="51">
        <v>0</v>
      </c>
      <c r="Q154" s="51">
        <v>2</v>
      </c>
      <c r="R154" s="51">
        <v>2</v>
      </c>
      <c r="S154" s="57" t="s">
        <v>48</v>
      </c>
      <c r="T154" s="51" t="s">
        <v>81</v>
      </c>
      <c r="U154" s="51">
        <v>4</v>
      </c>
      <c r="V154" s="51">
        <v>10</v>
      </c>
      <c r="W154" s="51">
        <v>3</v>
      </c>
      <c r="X154" s="51" t="s">
        <v>69</v>
      </c>
      <c r="Y154" s="57" t="s">
        <v>95</v>
      </c>
      <c r="Z154" s="58">
        <v>0</v>
      </c>
      <c r="AA154" s="57" t="s">
        <v>250</v>
      </c>
      <c r="AB154" s="59">
        <f t="shared" si="2"/>
        <v>45954</v>
      </c>
    </row>
    <row r="155" spans="1:28" ht="12.75">
      <c r="A155" s="56">
        <v>45954.838195081014</v>
      </c>
      <c r="B155" s="51" t="s">
        <v>330</v>
      </c>
      <c r="C155" s="51" t="s">
        <v>29</v>
      </c>
      <c r="D155" s="51" t="s">
        <v>30</v>
      </c>
      <c r="E155" s="51" t="s">
        <v>31</v>
      </c>
      <c r="F155" s="51" t="s">
        <v>85</v>
      </c>
      <c r="G155" s="51" t="s">
        <v>33</v>
      </c>
      <c r="H155" s="51">
        <v>21</v>
      </c>
      <c r="I155" s="51" t="s">
        <v>34</v>
      </c>
      <c r="J155" s="51" t="s">
        <v>64</v>
      </c>
      <c r="K155" s="51" t="s">
        <v>36</v>
      </c>
      <c r="L155" s="51" t="s">
        <v>74</v>
      </c>
      <c r="M155" s="51">
        <v>2</v>
      </c>
      <c r="N155" s="51">
        <v>1</v>
      </c>
      <c r="O155" s="52">
        <v>2</v>
      </c>
      <c r="P155" s="51">
        <v>0</v>
      </c>
      <c r="Q155" s="51">
        <v>3</v>
      </c>
      <c r="R155" s="51">
        <v>2</v>
      </c>
      <c r="S155" s="57" t="s">
        <v>55</v>
      </c>
      <c r="T155" s="51" t="s">
        <v>49</v>
      </c>
      <c r="U155" s="51">
        <v>4</v>
      </c>
      <c r="V155" s="51">
        <v>9</v>
      </c>
      <c r="W155" s="51">
        <v>1</v>
      </c>
      <c r="X155" s="51" t="s">
        <v>40</v>
      </c>
      <c r="Y155" s="57" t="s">
        <v>109</v>
      </c>
      <c r="Z155" s="58">
        <v>0</v>
      </c>
      <c r="AA155" s="57" t="s">
        <v>174</v>
      </c>
      <c r="AB155" s="59">
        <f t="shared" si="2"/>
        <v>45954</v>
      </c>
    </row>
    <row r="156" spans="1:28" ht="12.75">
      <c r="A156" s="56">
        <v>45954.841603726847</v>
      </c>
      <c r="B156" s="51" t="s">
        <v>331</v>
      </c>
      <c r="C156" s="51" t="s">
        <v>29</v>
      </c>
      <c r="D156" s="51" t="s">
        <v>30</v>
      </c>
      <c r="E156" s="51" t="s">
        <v>31</v>
      </c>
      <c r="F156" s="51" t="s">
        <v>85</v>
      </c>
      <c r="G156" s="51" t="s">
        <v>54</v>
      </c>
      <c r="H156" s="51">
        <v>21</v>
      </c>
      <c r="I156" s="51" t="s">
        <v>34</v>
      </c>
      <c r="J156" s="51" t="s">
        <v>108</v>
      </c>
      <c r="K156" s="51" t="s">
        <v>90</v>
      </c>
      <c r="L156" s="51" t="s">
        <v>47</v>
      </c>
      <c r="M156" s="51">
        <v>1</v>
      </c>
      <c r="N156" s="51">
        <v>1</v>
      </c>
      <c r="O156" s="52">
        <v>0</v>
      </c>
      <c r="P156" s="51">
        <v>0</v>
      </c>
      <c r="Q156" s="51">
        <v>2</v>
      </c>
      <c r="R156" s="51">
        <v>2</v>
      </c>
      <c r="S156" s="57" t="s">
        <v>48</v>
      </c>
      <c r="T156" s="51" t="s">
        <v>81</v>
      </c>
      <c r="U156" s="51">
        <v>4</v>
      </c>
      <c r="V156" s="51">
        <v>7</v>
      </c>
      <c r="W156" s="51">
        <v>1</v>
      </c>
      <c r="X156" s="51" t="s">
        <v>40</v>
      </c>
      <c r="Y156" s="57" t="s">
        <v>61</v>
      </c>
      <c r="Z156" s="58">
        <v>0</v>
      </c>
      <c r="AA156" s="57" t="s">
        <v>332</v>
      </c>
      <c r="AB156" s="59">
        <f t="shared" si="2"/>
        <v>45954</v>
      </c>
    </row>
    <row r="157" spans="1:28" ht="12.75">
      <c r="A157" s="56">
        <v>45954.880517210651</v>
      </c>
      <c r="B157" s="51" t="s">
        <v>333</v>
      </c>
      <c r="C157" s="51" t="s">
        <v>29</v>
      </c>
      <c r="D157" s="51" t="s">
        <v>30</v>
      </c>
      <c r="E157" s="51" t="s">
        <v>31</v>
      </c>
      <c r="F157" s="51" t="s">
        <v>85</v>
      </c>
      <c r="G157" s="51" t="s">
        <v>149</v>
      </c>
      <c r="H157" s="51">
        <v>21</v>
      </c>
      <c r="I157" s="51" t="s">
        <v>34</v>
      </c>
      <c r="J157" s="51" t="s">
        <v>64</v>
      </c>
      <c r="K157" s="51" t="s">
        <v>90</v>
      </c>
      <c r="L157" s="51" t="s">
        <v>47</v>
      </c>
      <c r="M157" s="51">
        <v>1</v>
      </c>
      <c r="N157" s="51">
        <v>1</v>
      </c>
      <c r="O157" s="52">
        <v>0</v>
      </c>
      <c r="P157" s="51">
        <v>0</v>
      </c>
      <c r="Q157" s="51">
        <v>1</v>
      </c>
      <c r="R157" s="51">
        <v>1</v>
      </c>
      <c r="S157" s="57" t="s">
        <v>38</v>
      </c>
      <c r="T157" s="51" t="s">
        <v>81</v>
      </c>
      <c r="U157" s="51">
        <v>4</v>
      </c>
      <c r="V157" s="51">
        <v>5</v>
      </c>
      <c r="W157" s="51">
        <v>1</v>
      </c>
      <c r="X157" s="51" t="s">
        <v>60</v>
      </c>
      <c r="Y157" s="57" t="s">
        <v>82</v>
      </c>
      <c r="Z157" s="58">
        <v>0</v>
      </c>
      <c r="AA157" s="57" t="s">
        <v>154</v>
      </c>
      <c r="AB157" s="59">
        <f t="shared" si="2"/>
        <v>45954</v>
      </c>
    </row>
    <row r="158" spans="1:28" ht="12.75">
      <c r="A158" s="56">
        <v>45954.882932812499</v>
      </c>
      <c r="B158" s="51" t="s">
        <v>334</v>
      </c>
      <c r="C158" s="51" t="s">
        <v>29</v>
      </c>
      <c r="D158" s="51" t="s">
        <v>30</v>
      </c>
      <c r="E158" s="51" t="s">
        <v>31</v>
      </c>
      <c r="F158" s="51" t="s">
        <v>32</v>
      </c>
      <c r="G158" s="51" t="s">
        <v>33</v>
      </c>
      <c r="H158" s="51">
        <v>21</v>
      </c>
      <c r="I158" s="51" t="s">
        <v>45</v>
      </c>
      <c r="J158" s="51" t="s">
        <v>64</v>
      </c>
      <c r="K158" s="51" t="s">
        <v>90</v>
      </c>
      <c r="L158" s="51" t="s">
        <v>47</v>
      </c>
      <c r="M158" s="51">
        <v>1</v>
      </c>
      <c r="N158" s="51">
        <v>1</v>
      </c>
      <c r="O158" s="52">
        <v>0</v>
      </c>
      <c r="P158" s="51">
        <v>0</v>
      </c>
      <c r="Q158" s="51">
        <v>5</v>
      </c>
      <c r="R158" s="51">
        <v>5</v>
      </c>
      <c r="S158" s="57" t="s">
        <v>141</v>
      </c>
      <c r="T158" s="51" t="s">
        <v>49</v>
      </c>
      <c r="U158" s="51">
        <v>7</v>
      </c>
      <c r="V158" s="51">
        <v>5</v>
      </c>
      <c r="W158" s="51">
        <v>1</v>
      </c>
      <c r="X158" s="51" t="s">
        <v>40</v>
      </c>
      <c r="Y158" s="57" t="s">
        <v>41</v>
      </c>
      <c r="Z158" s="58">
        <v>50</v>
      </c>
      <c r="AA158" s="57" t="s">
        <v>202</v>
      </c>
      <c r="AB158" s="59">
        <f t="shared" si="2"/>
        <v>45954</v>
      </c>
    </row>
    <row r="159" spans="1:28" ht="12.75">
      <c r="A159" s="56">
        <v>45954.89230835648</v>
      </c>
      <c r="B159" s="51" t="s">
        <v>335</v>
      </c>
      <c r="C159" s="51" t="s">
        <v>29</v>
      </c>
      <c r="D159" s="51" t="s">
        <v>30</v>
      </c>
      <c r="E159" s="51" t="s">
        <v>31</v>
      </c>
      <c r="F159" s="51" t="s">
        <v>85</v>
      </c>
      <c r="G159" s="51" t="s">
        <v>54</v>
      </c>
      <c r="H159" s="51">
        <v>21</v>
      </c>
      <c r="I159" s="51" t="s">
        <v>45</v>
      </c>
      <c r="J159" s="51" t="s">
        <v>35</v>
      </c>
      <c r="K159" s="51" t="s">
        <v>36</v>
      </c>
      <c r="L159" s="51" t="s">
        <v>37</v>
      </c>
      <c r="M159" s="51">
        <v>3</v>
      </c>
      <c r="N159" s="51">
        <v>3</v>
      </c>
      <c r="O159" s="52">
        <v>6</v>
      </c>
      <c r="P159" s="51">
        <v>1</v>
      </c>
      <c r="Q159" s="51">
        <v>3</v>
      </c>
      <c r="R159" s="51">
        <v>3</v>
      </c>
      <c r="S159" s="57" t="s">
        <v>141</v>
      </c>
      <c r="T159" s="51" t="s">
        <v>49</v>
      </c>
      <c r="U159" s="51">
        <v>3</v>
      </c>
      <c r="V159" s="51">
        <v>7</v>
      </c>
      <c r="W159" s="51">
        <v>3</v>
      </c>
      <c r="X159" s="51" t="s">
        <v>50</v>
      </c>
      <c r="Y159" s="57" t="s">
        <v>109</v>
      </c>
      <c r="Z159" s="58">
        <v>0</v>
      </c>
      <c r="AA159" s="57" t="s">
        <v>139</v>
      </c>
      <c r="AB159" s="59">
        <f t="shared" si="2"/>
        <v>45954</v>
      </c>
    </row>
    <row r="160" spans="1:28" ht="12.75">
      <c r="A160" s="56">
        <v>45954.904608368059</v>
      </c>
      <c r="B160" s="51" t="s">
        <v>336</v>
      </c>
      <c r="C160" s="51" t="s">
        <v>29</v>
      </c>
      <c r="D160" s="51" t="s">
        <v>30</v>
      </c>
      <c r="E160" s="51" t="s">
        <v>31</v>
      </c>
      <c r="F160" s="51" t="s">
        <v>32</v>
      </c>
      <c r="G160" s="51" t="s">
        <v>54</v>
      </c>
      <c r="H160" s="51">
        <v>21</v>
      </c>
      <c r="I160" s="51" t="s">
        <v>45</v>
      </c>
      <c r="J160" s="51" t="s">
        <v>64</v>
      </c>
      <c r="K160" s="51" t="s">
        <v>36</v>
      </c>
      <c r="L160" s="51" t="s">
        <v>337</v>
      </c>
      <c r="M160" s="51">
        <v>1</v>
      </c>
      <c r="N160" s="51">
        <v>1</v>
      </c>
      <c r="O160" s="52">
        <v>3</v>
      </c>
      <c r="P160" s="51">
        <v>0</v>
      </c>
      <c r="Q160" s="51">
        <v>5</v>
      </c>
      <c r="R160" s="51">
        <v>1</v>
      </c>
      <c r="S160" s="57" t="s">
        <v>141</v>
      </c>
      <c r="T160" s="51" t="s">
        <v>49</v>
      </c>
      <c r="U160" s="51">
        <v>0</v>
      </c>
      <c r="V160" s="51">
        <v>10</v>
      </c>
      <c r="W160" s="51">
        <v>1</v>
      </c>
      <c r="X160" s="51" t="s">
        <v>40</v>
      </c>
      <c r="Y160" s="57" t="s">
        <v>272</v>
      </c>
      <c r="Z160" s="58">
        <v>8.99</v>
      </c>
      <c r="AA160" s="57" t="s">
        <v>197</v>
      </c>
      <c r="AB160" s="59">
        <f t="shared" si="2"/>
        <v>45954</v>
      </c>
    </row>
    <row r="161" spans="1:28" ht="12.75">
      <c r="A161" s="56">
        <v>45954.917441736106</v>
      </c>
      <c r="B161" s="51" t="s">
        <v>338</v>
      </c>
      <c r="C161" s="51" t="s">
        <v>29</v>
      </c>
      <c r="D161" s="51" t="s">
        <v>30</v>
      </c>
      <c r="E161" s="51" t="s">
        <v>31</v>
      </c>
      <c r="F161" s="51" t="s">
        <v>32</v>
      </c>
      <c r="G161" s="51" t="s">
        <v>33</v>
      </c>
      <c r="H161" s="51">
        <v>21</v>
      </c>
      <c r="I161" s="51" t="s">
        <v>99</v>
      </c>
      <c r="J161" s="51" t="s">
        <v>64</v>
      </c>
      <c r="K161" s="51" t="s">
        <v>36</v>
      </c>
      <c r="L161" s="51" t="s">
        <v>37</v>
      </c>
      <c r="M161" s="51">
        <v>5</v>
      </c>
      <c r="N161" s="51">
        <v>5</v>
      </c>
      <c r="O161" s="52">
        <v>43</v>
      </c>
      <c r="P161" s="51">
        <v>3</v>
      </c>
      <c r="Q161" s="51">
        <v>5</v>
      </c>
      <c r="R161" s="51">
        <v>5</v>
      </c>
      <c r="S161" s="57" t="s">
        <v>86</v>
      </c>
      <c r="T161" s="51" t="s">
        <v>102</v>
      </c>
      <c r="U161" s="51">
        <v>5</v>
      </c>
      <c r="V161" s="51">
        <v>10</v>
      </c>
      <c r="W161" s="51">
        <v>4</v>
      </c>
      <c r="X161" s="51" t="s">
        <v>50</v>
      </c>
      <c r="Y161" s="57" t="s">
        <v>339</v>
      </c>
      <c r="Z161" s="58">
        <v>49.99</v>
      </c>
      <c r="AA161" s="57" t="s">
        <v>178</v>
      </c>
      <c r="AB161" s="59">
        <f t="shared" si="2"/>
        <v>45954</v>
      </c>
    </row>
    <row r="162" spans="1:28" ht="12.75">
      <c r="A162" s="56">
        <v>45954.920480243054</v>
      </c>
      <c r="B162" s="51" t="s">
        <v>340</v>
      </c>
      <c r="C162" s="51" t="s">
        <v>29</v>
      </c>
      <c r="D162" s="51" t="s">
        <v>30</v>
      </c>
      <c r="E162" s="51" t="s">
        <v>31</v>
      </c>
      <c r="F162" s="51" t="s">
        <v>32</v>
      </c>
      <c r="G162" s="51" t="s">
        <v>33</v>
      </c>
      <c r="H162" s="51">
        <v>21</v>
      </c>
      <c r="I162" s="51" t="s">
        <v>34</v>
      </c>
      <c r="J162" s="51" t="s">
        <v>64</v>
      </c>
      <c r="K162" s="51" t="s">
        <v>36</v>
      </c>
      <c r="L162" s="51" t="s">
        <v>100</v>
      </c>
      <c r="M162" s="51">
        <v>1</v>
      </c>
      <c r="N162" s="51">
        <v>1</v>
      </c>
      <c r="O162" s="52">
        <v>4</v>
      </c>
      <c r="P162" s="51">
        <v>1</v>
      </c>
      <c r="Q162" s="51">
        <v>3</v>
      </c>
      <c r="R162" s="51">
        <v>4</v>
      </c>
      <c r="S162" s="57" t="s">
        <v>135</v>
      </c>
      <c r="T162" s="51" t="s">
        <v>39</v>
      </c>
      <c r="U162" s="51">
        <v>3</v>
      </c>
      <c r="V162" s="51">
        <v>8</v>
      </c>
      <c r="W162" s="51">
        <v>1</v>
      </c>
      <c r="X162" s="51" t="s">
        <v>40</v>
      </c>
      <c r="Y162" s="57" t="s">
        <v>275</v>
      </c>
      <c r="Z162" s="58">
        <v>9.5</v>
      </c>
      <c r="AA162" s="57" t="s">
        <v>142</v>
      </c>
      <c r="AB162" s="59">
        <f t="shared" si="2"/>
        <v>45954</v>
      </c>
    </row>
    <row r="163" spans="1:28" ht="12.75">
      <c r="A163" s="56">
        <v>45954.938884270829</v>
      </c>
      <c r="B163" s="51" t="s">
        <v>341</v>
      </c>
      <c r="C163" s="51" t="s">
        <v>29</v>
      </c>
      <c r="D163" s="51" t="s">
        <v>30</v>
      </c>
      <c r="E163" s="51" t="s">
        <v>31</v>
      </c>
      <c r="F163" s="51" t="s">
        <v>85</v>
      </c>
      <c r="G163" s="51" t="s">
        <v>33</v>
      </c>
      <c r="H163" s="51">
        <v>21</v>
      </c>
      <c r="I163" s="51" t="s">
        <v>34</v>
      </c>
      <c r="J163" s="51" t="s">
        <v>46</v>
      </c>
      <c r="K163" s="51" t="s">
        <v>90</v>
      </c>
      <c r="L163" s="51" t="s">
        <v>47</v>
      </c>
      <c r="M163" s="51">
        <v>1</v>
      </c>
      <c r="N163" s="51">
        <v>1</v>
      </c>
      <c r="O163" s="52">
        <v>0</v>
      </c>
      <c r="P163" s="51">
        <v>0</v>
      </c>
      <c r="Q163" s="51">
        <v>1</v>
      </c>
      <c r="R163" s="51">
        <v>1</v>
      </c>
      <c r="S163" s="57" t="s">
        <v>55</v>
      </c>
      <c r="T163" s="51" t="s">
        <v>49</v>
      </c>
      <c r="U163" s="51">
        <v>6</v>
      </c>
      <c r="V163" s="51">
        <v>7</v>
      </c>
      <c r="W163" s="51">
        <v>3</v>
      </c>
      <c r="X163" s="51" t="s">
        <v>50</v>
      </c>
      <c r="Y163" s="57" t="s">
        <v>109</v>
      </c>
      <c r="Z163" s="58">
        <v>0</v>
      </c>
      <c r="AA163" s="57" t="s">
        <v>252</v>
      </c>
      <c r="AB163" s="59">
        <f t="shared" si="2"/>
        <v>45954</v>
      </c>
    </row>
    <row r="164" spans="1:28" ht="12.75">
      <c r="A164" s="56">
        <v>45954.943876087964</v>
      </c>
      <c r="B164" s="51" t="s">
        <v>342</v>
      </c>
      <c r="C164" s="51" t="s">
        <v>29</v>
      </c>
      <c r="D164" s="51" t="s">
        <v>30</v>
      </c>
      <c r="E164" s="51" t="s">
        <v>31</v>
      </c>
      <c r="F164" s="51" t="s">
        <v>32</v>
      </c>
      <c r="G164" s="51" t="s">
        <v>33</v>
      </c>
      <c r="H164" s="51">
        <v>21</v>
      </c>
      <c r="I164" s="51" t="s">
        <v>34</v>
      </c>
      <c r="J164" s="51" t="s">
        <v>64</v>
      </c>
      <c r="K164" s="51" t="s">
        <v>36</v>
      </c>
      <c r="L164" s="51" t="s">
        <v>74</v>
      </c>
      <c r="M164" s="51">
        <v>1</v>
      </c>
      <c r="N164" s="51">
        <v>2</v>
      </c>
      <c r="O164" s="52">
        <v>18</v>
      </c>
      <c r="P164" s="51">
        <v>3</v>
      </c>
      <c r="Q164" s="51">
        <v>5</v>
      </c>
      <c r="R164" s="51">
        <v>5</v>
      </c>
      <c r="S164" s="57" t="s">
        <v>48</v>
      </c>
      <c r="T164" s="51" t="s">
        <v>102</v>
      </c>
      <c r="U164" s="51">
        <v>5</v>
      </c>
      <c r="V164" s="51">
        <v>10</v>
      </c>
      <c r="W164" s="51">
        <v>3</v>
      </c>
      <c r="X164" s="51" t="s">
        <v>50</v>
      </c>
      <c r="Y164" s="57" t="s">
        <v>95</v>
      </c>
      <c r="Z164" s="58">
        <v>25</v>
      </c>
      <c r="AA164" s="57" t="s">
        <v>197</v>
      </c>
      <c r="AB164" s="59">
        <f t="shared" si="2"/>
        <v>45954</v>
      </c>
    </row>
    <row r="165" spans="1:28" ht="12.75">
      <c r="A165" s="56">
        <v>45954.949485104167</v>
      </c>
      <c r="B165" s="51" t="s">
        <v>343</v>
      </c>
      <c r="C165" s="51" t="s">
        <v>29</v>
      </c>
      <c r="D165" s="51" t="s">
        <v>30</v>
      </c>
      <c r="E165" s="51" t="s">
        <v>31</v>
      </c>
      <c r="F165" s="51" t="s">
        <v>32</v>
      </c>
      <c r="G165" s="51" t="s">
        <v>33</v>
      </c>
      <c r="H165" s="51">
        <v>21</v>
      </c>
      <c r="I165" s="51" t="s">
        <v>45</v>
      </c>
      <c r="J165" s="51" t="s">
        <v>79</v>
      </c>
      <c r="K165" s="51" t="s">
        <v>36</v>
      </c>
      <c r="L165" s="51" t="s">
        <v>113</v>
      </c>
      <c r="M165" s="51">
        <v>2</v>
      </c>
      <c r="N165" s="51">
        <v>3</v>
      </c>
      <c r="O165" s="52">
        <v>5.5</v>
      </c>
      <c r="P165" s="51">
        <v>3</v>
      </c>
      <c r="Q165" s="51">
        <v>5</v>
      </c>
      <c r="R165" s="51">
        <v>3</v>
      </c>
      <c r="S165" s="57" t="s">
        <v>48</v>
      </c>
      <c r="T165" s="51" t="s">
        <v>94</v>
      </c>
      <c r="U165" s="51">
        <v>3</v>
      </c>
      <c r="V165" s="51">
        <v>8</v>
      </c>
      <c r="W165" s="51">
        <v>2</v>
      </c>
      <c r="X165" s="51" t="s">
        <v>40</v>
      </c>
      <c r="Y165" s="57" t="s">
        <v>41</v>
      </c>
      <c r="Z165" s="58">
        <v>10</v>
      </c>
      <c r="AA165" s="57" t="s">
        <v>215</v>
      </c>
      <c r="AB165" s="59">
        <f t="shared" si="2"/>
        <v>45954</v>
      </c>
    </row>
    <row r="166" spans="1:28" ht="12.75">
      <c r="A166" s="56">
        <v>45949.908637395834</v>
      </c>
      <c r="B166" s="51" t="s">
        <v>344</v>
      </c>
      <c r="C166" s="51" t="s">
        <v>29</v>
      </c>
      <c r="D166" s="51" t="s">
        <v>30</v>
      </c>
      <c r="E166" s="51" t="s">
        <v>31</v>
      </c>
      <c r="F166" s="51" t="s">
        <v>85</v>
      </c>
      <c r="G166" s="51" t="s">
        <v>54</v>
      </c>
      <c r="H166" s="51">
        <v>22</v>
      </c>
      <c r="I166" s="51" t="s">
        <v>99</v>
      </c>
      <c r="J166" s="51" t="s">
        <v>79</v>
      </c>
      <c r="K166" s="51" t="s">
        <v>36</v>
      </c>
      <c r="L166" s="51" t="s">
        <v>68</v>
      </c>
      <c r="M166" s="51">
        <v>1</v>
      </c>
      <c r="N166" s="51">
        <v>1</v>
      </c>
      <c r="O166" s="52">
        <v>0</v>
      </c>
      <c r="P166" s="51">
        <v>0</v>
      </c>
      <c r="Q166" s="51">
        <v>3</v>
      </c>
      <c r="R166" s="51">
        <v>2</v>
      </c>
      <c r="S166" s="57" t="s">
        <v>38</v>
      </c>
      <c r="T166" s="51" t="s">
        <v>81</v>
      </c>
      <c r="U166" s="51">
        <v>3</v>
      </c>
      <c r="V166" s="51">
        <v>10</v>
      </c>
      <c r="W166" s="51">
        <v>2</v>
      </c>
      <c r="X166" s="51" t="s">
        <v>69</v>
      </c>
      <c r="Y166" s="57" t="s">
        <v>166</v>
      </c>
      <c r="Z166" s="58">
        <v>30</v>
      </c>
      <c r="AA166" s="57" t="s">
        <v>190</v>
      </c>
      <c r="AB166" s="59">
        <f t="shared" si="2"/>
        <v>45949</v>
      </c>
    </row>
    <row r="167" spans="1:28" ht="12.75">
      <c r="A167" s="56">
        <v>45951.982810347225</v>
      </c>
      <c r="B167" s="51" t="s">
        <v>345</v>
      </c>
      <c r="C167" s="51" t="s">
        <v>29</v>
      </c>
      <c r="D167" s="51" t="s">
        <v>30</v>
      </c>
      <c r="E167" s="51" t="s">
        <v>31</v>
      </c>
      <c r="F167" s="51" t="s">
        <v>32</v>
      </c>
      <c r="G167" s="51" t="s">
        <v>54</v>
      </c>
      <c r="H167" s="51">
        <v>22</v>
      </c>
      <c r="I167" s="51" t="s">
        <v>45</v>
      </c>
      <c r="J167" s="51" t="s">
        <v>46</v>
      </c>
      <c r="K167" s="51" t="s">
        <v>36</v>
      </c>
      <c r="L167" s="51" t="s">
        <v>100</v>
      </c>
      <c r="M167" s="51">
        <v>3</v>
      </c>
      <c r="N167" s="51">
        <v>4</v>
      </c>
      <c r="O167" s="52">
        <v>1.5</v>
      </c>
      <c r="P167" s="51">
        <v>1</v>
      </c>
      <c r="Q167" s="51">
        <v>5</v>
      </c>
      <c r="R167" s="51">
        <v>3</v>
      </c>
      <c r="S167" s="57" t="s">
        <v>207</v>
      </c>
      <c r="T167" s="51" t="s">
        <v>39</v>
      </c>
      <c r="U167" s="51">
        <v>3</v>
      </c>
      <c r="V167" s="51">
        <v>9</v>
      </c>
      <c r="W167" s="51">
        <v>2</v>
      </c>
      <c r="X167" s="51" t="s">
        <v>69</v>
      </c>
      <c r="Y167" s="57" t="s">
        <v>241</v>
      </c>
      <c r="Z167" s="58">
        <v>45</v>
      </c>
      <c r="AA167" s="57" t="s">
        <v>157</v>
      </c>
      <c r="AB167" s="59">
        <f t="shared" si="2"/>
        <v>45951</v>
      </c>
    </row>
    <row r="168" spans="1:28" ht="12.75">
      <c r="A168" s="56">
        <v>45952.303719097225</v>
      </c>
      <c r="B168" s="51" t="s">
        <v>346</v>
      </c>
      <c r="C168" s="51" t="s">
        <v>29</v>
      </c>
      <c r="D168" s="51" t="s">
        <v>30</v>
      </c>
      <c r="E168" s="51" t="s">
        <v>31</v>
      </c>
      <c r="F168" s="51" t="s">
        <v>53</v>
      </c>
      <c r="G168" s="51" t="s">
        <v>33</v>
      </c>
      <c r="H168" s="51">
        <v>22</v>
      </c>
      <c r="I168" s="51" t="s">
        <v>34</v>
      </c>
      <c r="J168" s="51" t="s">
        <v>46</v>
      </c>
      <c r="K168" s="51" t="s">
        <v>36</v>
      </c>
      <c r="L168" s="51" t="s">
        <v>74</v>
      </c>
      <c r="M168" s="51">
        <v>2</v>
      </c>
      <c r="N168" s="51">
        <v>1</v>
      </c>
      <c r="O168" s="52">
        <v>2</v>
      </c>
      <c r="P168" s="51">
        <v>0</v>
      </c>
      <c r="Q168" s="51">
        <v>5</v>
      </c>
      <c r="R168" s="51">
        <v>5</v>
      </c>
      <c r="S168" s="57" t="s">
        <v>55</v>
      </c>
      <c r="T168" s="51" t="s">
        <v>39</v>
      </c>
      <c r="U168" s="51">
        <v>3</v>
      </c>
      <c r="V168" s="51">
        <v>10</v>
      </c>
      <c r="W168" s="51">
        <v>3</v>
      </c>
      <c r="X168" s="51" t="s">
        <v>40</v>
      </c>
      <c r="Y168" s="57" t="s">
        <v>109</v>
      </c>
      <c r="Z168" s="58">
        <v>350.8</v>
      </c>
      <c r="AA168" s="57" t="s">
        <v>250</v>
      </c>
      <c r="AB168" s="59">
        <f t="shared" si="2"/>
        <v>45952</v>
      </c>
    </row>
    <row r="169" spans="1:28" ht="12.75">
      <c r="A169" s="56">
        <v>45952.383193541667</v>
      </c>
      <c r="B169" s="51" t="s">
        <v>347</v>
      </c>
      <c r="C169" s="51" t="s">
        <v>29</v>
      </c>
      <c r="D169" s="51" t="s">
        <v>30</v>
      </c>
      <c r="E169" s="51" t="s">
        <v>31</v>
      </c>
      <c r="F169" s="51" t="s">
        <v>44</v>
      </c>
      <c r="G169" s="51" t="s">
        <v>54</v>
      </c>
      <c r="H169" s="51">
        <v>22</v>
      </c>
      <c r="I169" s="51" t="s">
        <v>45</v>
      </c>
      <c r="J169" s="51" t="s">
        <v>64</v>
      </c>
      <c r="K169" s="51" t="s">
        <v>36</v>
      </c>
      <c r="L169" s="51" t="s">
        <v>68</v>
      </c>
      <c r="M169" s="51">
        <v>2</v>
      </c>
      <c r="N169" s="51">
        <v>2</v>
      </c>
      <c r="O169" s="52">
        <v>5</v>
      </c>
      <c r="P169" s="51">
        <v>0</v>
      </c>
      <c r="Q169" s="51">
        <v>5</v>
      </c>
      <c r="R169" s="51">
        <v>5</v>
      </c>
      <c r="S169" s="57" t="s">
        <v>141</v>
      </c>
      <c r="T169" s="51" t="s">
        <v>102</v>
      </c>
      <c r="U169" s="51">
        <v>10</v>
      </c>
      <c r="V169" s="51">
        <v>10</v>
      </c>
      <c r="W169" s="51">
        <v>1</v>
      </c>
      <c r="X169" s="51" t="s">
        <v>50</v>
      </c>
      <c r="Y169" s="57" t="s">
        <v>348</v>
      </c>
      <c r="Z169" s="58">
        <v>30</v>
      </c>
      <c r="AA169" s="57" t="s">
        <v>277</v>
      </c>
      <c r="AB169" s="59">
        <f t="shared" si="2"/>
        <v>45952</v>
      </c>
    </row>
    <row r="170" spans="1:28" ht="12.75">
      <c r="A170" s="56">
        <v>45952.388169733793</v>
      </c>
      <c r="B170" s="51" t="s">
        <v>349</v>
      </c>
      <c r="C170" s="51" t="s">
        <v>29</v>
      </c>
      <c r="D170" s="51" t="s">
        <v>30</v>
      </c>
      <c r="E170" s="51" t="s">
        <v>31</v>
      </c>
      <c r="F170" s="51" t="s">
        <v>44</v>
      </c>
      <c r="G170" s="51" t="s">
        <v>33</v>
      </c>
      <c r="H170" s="51">
        <v>22</v>
      </c>
      <c r="I170" s="51" t="s">
        <v>34</v>
      </c>
      <c r="J170" s="51" t="s">
        <v>46</v>
      </c>
      <c r="K170" s="51" t="s">
        <v>36</v>
      </c>
      <c r="L170" s="51" t="s">
        <v>37</v>
      </c>
      <c r="M170" s="51">
        <v>2</v>
      </c>
      <c r="N170" s="51">
        <v>2</v>
      </c>
      <c r="O170" s="52">
        <v>10</v>
      </c>
      <c r="P170" s="51">
        <v>2</v>
      </c>
      <c r="Q170" s="51">
        <v>5</v>
      </c>
      <c r="R170" s="51">
        <v>5</v>
      </c>
      <c r="S170" s="57" t="s">
        <v>48</v>
      </c>
      <c r="T170" s="51" t="s">
        <v>102</v>
      </c>
      <c r="U170" s="51">
        <v>10</v>
      </c>
      <c r="V170" s="51">
        <v>10</v>
      </c>
      <c r="W170" s="51">
        <v>1</v>
      </c>
      <c r="X170" s="51" t="s">
        <v>69</v>
      </c>
      <c r="Y170" s="57" t="s">
        <v>231</v>
      </c>
      <c r="Z170" s="58">
        <v>30</v>
      </c>
      <c r="AA170" s="57" t="s">
        <v>104</v>
      </c>
      <c r="AB170" s="59">
        <f t="shared" si="2"/>
        <v>45952</v>
      </c>
    </row>
    <row r="171" spans="1:28" ht="12.75">
      <c r="A171" s="56">
        <v>45952.896692152775</v>
      </c>
      <c r="B171" s="51" t="s">
        <v>350</v>
      </c>
      <c r="C171" s="51" t="s">
        <v>29</v>
      </c>
      <c r="D171" s="51" t="s">
        <v>30</v>
      </c>
      <c r="E171" s="51" t="s">
        <v>31</v>
      </c>
      <c r="F171" s="51" t="s">
        <v>53</v>
      </c>
      <c r="G171" s="51" t="s">
        <v>54</v>
      </c>
      <c r="H171" s="51">
        <v>22</v>
      </c>
      <c r="I171" s="51" t="s">
        <v>34</v>
      </c>
      <c r="J171" s="51" t="s">
        <v>108</v>
      </c>
      <c r="K171" s="51" t="s">
        <v>36</v>
      </c>
      <c r="L171" s="51" t="s">
        <v>74</v>
      </c>
      <c r="M171" s="51">
        <v>1</v>
      </c>
      <c r="N171" s="51">
        <v>1</v>
      </c>
      <c r="O171" s="52">
        <v>1</v>
      </c>
      <c r="P171" s="51">
        <v>0</v>
      </c>
      <c r="Q171" s="51">
        <v>3</v>
      </c>
      <c r="R171" s="51">
        <v>1</v>
      </c>
      <c r="S171" s="57" t="s">
        <v>91</v>
      </c>
      <c r="T171" s="51" t="s">
        <v>49</v>
      </c>
      <c r="U171" s="51">
        <v>0</v>
      </c>
      <c r="V171" s="51">
        <v>10</v>
      </c>
      <c r="W171" s="51">
        <v>1</v>
      </c>
      <c r="X171" s="51" t="s">
        <v>60</v>
      </c>
      <c r="Y171" s="57" t="s">
        <v>181</v>
      </c>
      <c r="Z171" s="58">
        <v>10.6</v>
      </c>
      <c r="AA171" s="57" t="s">
        <v>154</v>
      </c>
      <c r="AB171" s="59">
        <f t="shared" si="2"/>
        <v>45952</v>
      </c>
    </row>
    <row r="172" spans="1:28" ht="12.75">
      <c r="A172" s="56">
        <v>45952.93437505787</v>
      </c>
      <c r="B172" s="51" t="s">
        <v>351</v>
      </c>
      <c r="C172" s="51" t="s">
        <v>29</v>
      </c>
      <c r="D172" s="51" t="s">
        <v>30</v>
      </c>
      <c r="E172" s="51" t="s">
        <v>31</v>
      </c>
      <c r="F172" s="51" t="s">
        <v>53</v>
      </c>
      <c r="G172" s="51" t="s">
        <v>33</v>
      </c>
      <c r="H172" s="51">
        <v>22</v>
      </c>
      <c r="I172" s="51" t="s">
        <v>34</v>
      </c>
      <c r="J172" s="51" t="s">
        <v>89</v>
      </c>
      <c r="K172" s="51" t="s">
        <v>36</v>
      </c>
      <c r="L172" s="51" t="s">
        <v>74</v>
      </c>
      <c r="M172" s="51">
        <v>2</v>
      </c>
      <c r="N172" s="51">
        <v>2</v>
      </c>
      <c r="O172" s="52">
        <v>7.5</v>
      </c>
      <c r="P172" s="51">
        <v>0</v>
      </c>
      <c r="Q172" s="51">
        <v>3</v>
      </c>
      <c r="R172" s="51">
        <v>1</v>
      </c>
      <c r="S172" s="57" t="s">
        <v>91</v>
      </c>
      <c r="T172" s="51" t="s">
        <v>81</v>
      </c>
      <c r="U172" s="51">
        <v>1</v>
      </c>
      <c r="V172" s="51">
        <v>7</v>
      </c>
      <c r="W172" s="51">
        <v>3</v>
      </c>
      <c r="X172" s="51" t="s">
        <v>50</v>
      </c>
      <c r="Y172" s="57" t="s">
        <v>97</v>
      </c>
      <c r="Z172" s="58">
        <v>19.989999999999998</v>
      </c>
      <c r="AA172" s="57" t="s">
        <v>114</v>
      </c>
      <c r="AB172" s="59">
        <f t="shared" si="2"/>
        <v>45952</v>
      </c>
    </row>
    <row r="173" spans="1:28" ht="12.75">
      <c r="A173" s="56">
        <v>45953.376444699075</v>
      </c>
      <c r="B173" s="51" t="s">
        <v>352</v>
      </c>
      <c r="C173" s="51" t="s">
        <v>29</v>
      </c>
      <c r="D173" s="51" t="s">
        <v>30</v>
      </c>
      <c r="E173" s="51" t="s">
        <v>31</v>
      </c>
      <c r="F173" s="51" t="s">
        <v>53</v>
      </c>
      <c r="G173" s="51" t="s">
        <v>33</v>
      </c>
      <c r="H173" s="51">
        <v>22</v>
      </c>
      <c r="I173" s="51" t="s">
        <v>34</v>
      </c>
      <c r="J173" s="51" t="s">
        <v>89</v>
      </c>
      <c r="K173" s="51" t="s">
        <v>36</v>
      </c>
      <c r="L173" s="51" t="s">
        <v>47</v>
      </c>
      <c r="M173" s="51">
        <v>1</v>
      </c>
      <c r="N173" s="51">
        <v>2</v>
      </c>
      <c r="O173" s="52">
        <v>5.75</v>
      </c>
      <c r="P173" s="51">
        <v>0</v>
      </c>
      <c r="Q173" s="51">
        <v>5</v>
      </c>
      <c r="R173" s="51">
        <v>3</v>
      </c>
      <c r="S173" s="57" t="s">
        <v>55</v>
      </c>
      <c r="T173" s="51" t="s">
        <v>49</v>
      </c>
      <c r="U173" s="51">
        <v>3</v>
      </c>
      <c r="V173" s="51">
        <v>10</v>
      </c>
      <c r="W173" s="51">
        <v>2</v>
      </c>
      <c r="X173" s="51" t="s">
        <v>40</v>
      </c>
      <c r="Y173" s="57" t="s">
        <v>231</v>
      </c>
      <c r="Z173" s="58">
        <v>40.6</v>
      </c>
      <c r="AA173" s="57" t="s">
        <v>114</v>
      </c>
      <c r="AB173" s="59">
        <f t="shared" si="2"/>
        <v>45953</v>
      </c>
    </row>
    <row r="174" spans="1:28" ht="12.75">
      <c r="A174" s="56">
        <v>45953.400708483794</v>
      </c>
      <c r="B174" s="51" t="s">
        <v>353</v>
      </c>
      <c r="C174" s="51" t="s">
        <v>29</v>
      </c>
      <c r="D174" s="51" t="s">
        <v>30</v>
      </c>
      <c r="E174" s="51" t="s">
        <v>31</v>
      </c>
      <c r="F174" s="51" t="s">
        <v>53</v>
      </c>
      <c r="G174" s="51" t="s">
        <v>33</v>
      </c>
      <c r="H174" s="51">
        <v>22</v>
      </c>
      <c r="I174" s="51" t="s">
        <v>34</v>
      </c>
      <c r="J174" s="51" t="s">
        <v>35</v>
      </c>
      <c r="K174" s="51" t="s">
        <v>36</v>
      </c>
      <c r="L174" s="51" t="s">
        <v>74</v>
      </c>
      <c r="M174" s="51">
        <v>1</v>
      </c>
      <c r="N174" s="51">
        <v>1</v>
      </c>
      <c r="O174" s="52">
        <v>1</v>
      </c>
      <c r="P174" s="51">
        <v>0</v>
      </c>
      <c r="Q174" s="51">
        <v>3</v>
      </c>
      <c r="R174" s="51">
        <v>2</v>
      </c>
      <c r="S174" s="57" t="s">
        <v>135</v>
      </c>
      <c r="T174" s="51" t="s">
        <v>81</v>
      </c>
      <c r="U174" s="51">
        <v>1</v>
      </c>
      <c r="V174" s="51">
        <v>5</v>
      </c>
      <c r="W174" s="51">
        <v>2</v>
      </c>
      <c r="X174" s="51" t="s">
        <v>69</v>
      </c>
      <c r="Y174" s="57" t="s">
        <v>61</v>
      </c>
      <c r="Z174" s="58">
        <v>4.99</v>
      </c>
      <c r="AA174" s="57" t="s">
        <v>250</v>
      </c>
      <c r="AB174" s="59">
        <f t="shared" si="2"/>
        <v>45953</v>
      </c>
    </row>
    <row r="175" spans="1:28" ht="12.75">
      <c r="A175" s="56">
        <v>45953.434787962964</v>
      </c>
      <c r="B175" s="51" t="s">
        <v>354</v>
      </c>
      <c r="C175" s="51" t="s">
        <v>29</v>
      </c>
      <c r="D175" s="51" t="s">
        <v>30</v>
      </c>
      <c r="E175" s="51" t="s">
        <v>31</v>
      </c>
      <c r="F175" s="51" t="s">
        <v>53</v>
      </c>
      <c r="G175" s="51" t="s">
        <v>54</v>
      </c>
      <c r="H175" s="51">
        <v>22</v>
      </c>
      <c r="I175" s="51" t="s">
        <v>34</v>
      </c>
      <c r="J175" s="51" t="s">
        <v>35</v>
      </c>
      <c r="K175" s="51" t="s">
        <v>36</v>
      </c>
      <c r="L175" s="51" t="s">
        <v>37</v>
      </c>
      <c r="M175" s="51">
        <v>3</v>
      </c>
      <c r="N175" s="51">
        <v>3</v>
      </c>
      <c r="O175" s="52">
        <v>10.5</v>
      </c>
      <c r="P175" s="51">
        <v>1</v>
      </c>
      <c r="Q175" s="51">
        <v>5</v>
      </c>
      <c r="R175" s="51">
        <v>2</v>
      </c>
      <c r="S175" s="57" t="s">
        <v>355</v>
      </c>
      <c r="T175" s="51" t="s">
        <v>94</v>
      </c>
      <c r="U175" s="51">
        <v>2</v>
      </c>
      <c r="V175" s="51">
        <v>10</v>
      </c>
      <c r="W175" s="51">
        <v>3</v>
      </c>
      <c r="X175" s="51" t="s">
        <v>40</v>
      </c>
      <c r="Y175" s="57" t="s">
        <v>118</v>
      </c>
      <c r="Z175" s="58">
        <v>14.6</v>
      </c>
      <c r="AA175" s="57" t="s">
        <v>157</v>
      </c>
      <c r="AB175" s="59">
        <f t="shared" si="2"/>
        <v>45953</v>
      </c>
    </row>
    <row r="176" spans="1:28" ht="12.75">
      <c r="A176" s="56">
        <v>45953.438538715272</v>
      </c>
      <c r="B176" s="51" t="s">
        <v>356</v>
      </c>
      <c r="C176" s="51" t="s">
        <v>29</v>
      </c>
      <c r="D176" s="51" t="s">
        <v>30</v>
      </c>
      <c r="E176" s="51" t="s">
        <v>31</v>
      </c>
      <c r="F176" s="51" t="s">
        <v>53</v>
      </c>
      <c r="G176" s="51" t="s">
        <v>54</v>
      </c>
      <c r="H176" s="51">
        <v>22</v>
      </c>
      <c r="I176" s="51" t="s">
        <v>34</v>
      </c>
      <c r="J176" s="51" t="s">
        <v>64</v>
      </c>
      <c r="K176" s="51" t="s">
        <v>36</v>
      </c>
      <c r="L176" s="51" t="s">
        <v>68</v>
      </c>
      <c r="M176" s="51">
        <v>4</v>
      </c>
      <c r="N176" s="51">
        <v>4</v>
      </c>
      <c r="O176" s="52">
        <v>20.5</v>
      </c>
      <c r="P176" s="51">
        <v>2</v>
      </c>
      <c r="Q176" s="51">
        <v>5</v>
      </c>
      <c r="R176" s="51">
        <v>3</v>
      </c>
      <c r="S176" s="57" t="s">
        <v>55</v>
      </c>
      <c r="T176" s="51" t="s">
        <v>94</v>
      </c>
      <c r="U176" s="51">
        <v>3</v>
      </c>
      <c r="V176" s="51">
        <v>7</v>
      </c>
      <c r="W176" s="51">
        <v>3</v>
      </c>
      <c r="X176" s="51" t="s">
        <v>40</v>
      </c>
      <c r="Y176" s="57" t="s">
        <v>166</v>
      </c>
      <c r="Z176" s="58">
        <v>14.4</v>
      </c>
      <c r="AA176" s="57" t="s">
        <v>167</v>
      </c>
      <c r="AB176" s="59">
        <f t="shared" si="2"/>
        <v>45953</v>
      </c>
    </row>
    <row r="177" spans="1:28" ht="12.75">
      <c r="A177" s="56">
        <v>45953.573598819443</v>
      </c>
      <c r="B177" s="51" t="s">
        <v>357</v>
      </c>
      <c r="C177" s="51" t="s">
        <v>29</v>
      </c>
      <c r="D177" s="51" t="s">
        <v>30</v>
      </c>
      <c r="E177" s="51" t="s">
        <v>31</v>
      </c>
      <c r="F177" s="51" t="s">
        <v>53</v>
      </c>
      <c r="G177" s="51" t="s">
        <v>54</v>
      </c>
      <c r="H177" s="51">
        <v>22</v>
      </c>
      <c r="I177" s="51" t="s">
        <v>34</v>
      </c>
      <c r="J177" s="51" t="s">
        <v>46</v>
      </c>
      <c r="K177" s="51" t="s">
        <v>36</v>
      </c>
      <c r="L177" s="51" t="s">
        <v>37</v>
      </c>
      <c r="M177" s="51">
        <v>2</v>
      </c>
      <c r="N177" s="51">
        <v>2</v>
      </c>
      <c r="O177" s="52">
        <v>10.5</v>
      </c>
      <c r="P177" s="51">
        <v>0</v>
      </c>
      <c r="Q177" s="51">
        <v>4</v>
      </c>
      <c r="R177" s="51">
        <v>2</v>
      </c>
      <c r="S177" s="57" t="s">
        <v>55</v>
      </c>
      <c r="T177" s="51" t="s">
        <v>49</v>
      </c>
      <c r="U177" s="51">
        <v>2</v>
      </c>
      <c r="V177" s="51">
        <v>9</v>
      </c>
      <c r="W177" s="51">
        <v>2</v>
      </c>
      <c r="X177" s="51" t="s">
        <v>40</v>
      </c>
      <c r="Y177" s="57" t="s">
        <v>82</v>
      </c>
      <c r="Z177" s="58">
        <v>22.6</v>
      </c>
      <c r="AA177" s="57" t="s">
        <v>114</v>
      </c>
      <c r="AB177" s="59">
        <f t="shared" si="2"/>
        <v>45953</v>
      </c>
    </row>
    <row r="178" spans="1:28" ht="12.75">
      <c r="A178" s="56">
        <v>45953.579708090278</v>
      </c>
      <c r="B178" s="51" t="s">
        <v>358</v>
      </c>
      <c r="C178" s="51" t="s">
        <v>29</v>
      </c>
      <c r="D178" s="51" t="s">
        <v>30</v>
      </c>
      <c r="E178" s="51" t="s">
        <v>31</v>
      </c>
      <c r="F178" s="51" t="s">
        <v>53</v>
      </c>
      <c r="G178" s="51" t="s">
        <v>33</v>
      </c>
      <c r="H178" s="51">
        <v>22</v>
      </c>
      <c r="I178" s="51" t="s">
        <v>34</v>
      </c>
      <c r="J178" s="51" t="s">
        <v>46</v>
      </c>
      <c r="K178" s="51" t="s">
        <v>36</v>
      </c>
      <c r="L178" s="51" t="s">
        <v>100</v>
      </c>
      <c r="M178" s="51">
        <v>1</v>
      </c>
      <c r="N178" s="51">
        <v>1</v>
      </c>
      <c r="O178" s="52">
        <v>0</v>
      </c>
      <c r="P178" s="51">
        <v>0</v>
      </c>
      <c r="Q178" s="51">
        <v>3</v>
      </c>
      <c r="R178" s="51">
        <v>2</v>
      </c>
      <c r="S178" s="57" t="s">
        <v>125</v>
      </c>
      <c r="T178" s="51" t="s">
        <v>81</v>
      </c>
      <c r="U178" s="51">
        <v>2</v>
      </c>
      <c r="V178" s="51">
        <v>9</v>
      </c>
      <c r="W178" s="51">
        <v>2</v>
      </c>
      <c r="X178" s="51" t="s">
        <v>40</v>
      </c>
      <c r="Y178" s="57" t="s">
        <v>133</v>
      </c>
      <c r="Z178" s="58">
        <v>24.99</v>
      </c>
      <c r="AA178" s="57" t="s">
        <v>122</v>
      </c>
      <c r="AB178" s="59">
        <f t="shared" si="2"/>
        <v>45953</v>
      </c>
    </row>
    <row r="179" spans="1:28" ht="12.75">
      <c r="A179" s="56">
        <v>45953.59252204861</v>
      </c>
      <c r="B179" s="51" t="s">
        <v>359</v>
      </c>
      <c r="C179" s="51" t="s">
        <v>29</v>
      </c>
      <c r="D179" s="51" t="s">
        <v>30</v>
      </c>
      <c r="E179" s="51" t="s">
        <v>31</v>
      </c>
      <c r="F179" s="51" t="s">
        <v>53</v>
      </c>
      <c r="G179" s="51" t="s">
        <v>54</v>
      </c>
      <c r="H179" s="51">
        <v>22</v>
      </c>
      <c r="I179" s="51" t="s">
        <v>34</v>
      </c>
      <c r="J179" s="51" t="s">
        <v>64</v>
      </c>
      <c r="K179" s="51" t="s">
        <v>36</v>
      </c>
      <c r="L179" s="51" t="s">
        <v>100</v>
      </c>
      <c r="M179" s="51">
        <v>2</v>
      </c>
      <c r="N179" s="51">
        <v>1</v>
      </c>
      <c r="O179" s="52">
        <v>5.75</v>
      </c>
      <c r="P179" s="51">
        <v>0</v>
      </c>
      <c r="Q179" s="51">
        <v>4</v>
      </c>
      <c r="R179" s="51">
        <v>3</v>
      </c>
      <c r="S179" s="57" t="s">
        <v>130</v>
      </c>
      <c r="T179" s="51" t="s">
        <v>49</v>
      </c>
      <c r="U179" s="51">
        <v>2</v>
      </c>
      <c r="V179" s="51">
        <v>9</v>
      </c>
      <c r="W179" s="51">
        <v>2</v>
      </c>
      <c r="X179" s="51" t="s">
        <v>69</v>
      </c>
      <c r="Y179" s="57" t="s">
        <v>133</v>
      </c>
      <c r="Z179" s="58">
        <v>19.8</v>
      </c>
      <c r="AA179" s="57" t="s">
        <v>104</v>
      </c>
      <c r="AB179" s="59">
        <f t="shared" si="2"/>
        <v>45953</v>
      </c>
    </row>
    <row r="180" spans="1:28" ht="12.75">
      <c r="A180" s="56">
        <v>45953.670740277783</v>
      </c>
      <c r="B180" s="51" t="s">
        <v>360</v>
      </c>
      <c r="C180" s="51" t="s">
        <v>29</v>
      </c>
      <c r="D180" s="51" t="s">
        <v>30</v>
      </c>
      <c r="E180" s="51" t="s">
        <v>31</v>
      </c>
      <c r="F180" s="51" t="s">
        <v>32</v>
      </c>
      <c r="G180" s="51" t="s">
        <v>54</v>
      </c>
      <c r="H180" s="51">
        <v>22</v>
      </c>
      <c r="I180" s="51" t="s">
        <v>34</v>
      </c>
      <c r="J180" s="51" t="s">
        <v>64</v>
      </c>
      <c r="K180" s="51" t="s">
        <v>36</v>
      </c>
      <c r="L180" s="51" t="s">
        <v>74</v>
      </c>
      <c r="M180" s="51">
        <v>1</v>
      </c>
      <c r="N180" s="51">
        <v>2</v>
      </c>
      <c r="O180" s="52">
        <v>2</v>
      </c>
      <c r="P180" s="51">
        <v>0</v>
      </c>
      <c r="Q180" s="51">
        <v>4</v>
      </c>
      <c r="R180" s="51">
        <v>4</v>
      </c>
      <c r="S180" s="57" t="s">
        <v>38</v>
      </c>
      <c r="T180" s="51" t="s">
        <v>49</v>
      </c>
      <c r="U180" s="51">
        <v>6</v>
      </c>
      <c r="V180" s="51">
        <v>7</v>
      </c>
      <c r="W180" s="51">
        <v>1</v>
      </c>
      <c r="X180" s="51" t="s">
        <v>40</v>
      </c>
      <c r="Y180" s="57" t="s">
        <v>97</v>
      </c>
      <c r="Z180" s="58">
        <v>20</v>
      </c>
      <c r="AA180" s="57" t="s">
        <v>277</v>
      </c>
      <c r="AB180" s="59">
        <f t="shared" si="2"/>
        <v>45953</v>
      </c>
    </row>
    <row r="181" spans="1:28" ht="12.75">
      <c r="A181" s="56">
        <v>45953.738657199079</v>
      </c>
      <c r="B181" s="51" t="s">
        <v>361</v>
      </c>
      <c r="C181" s="51" t="s">
        <v>29</v>
      </c>
      <c r="D181" s="51" t="s">
        <v>30</v>
      </c>
      <c r="E181" s="51" t="s">
        <v>31</v>
      </c>
      <c r="F181" s="51" t="s">
        <v>53</v>
      </c>
      <c r="G181" s="51" t="s">
        <v>33</v>
      </c>
      <c r="H181" s="51">
        <v>22</v>
      </c>
      <c r="I181" s="51" t="s">
        <v>34</v>
      </c>
      <c r="J181" s="51" t="s">
        <v>108</v>
      </c>
      <c r="K181" s="51" t="s">
        <v>36</v>
      </c>
      <c r="L181" s="51" t="s">
        <v>37</v>
      </c>
      <c r="M181" s="51">
        <v>2</v>
      </c>
      <c r="N181" s="51">
        <v>2</v>
      </c>
      <c r="O181" s="52">
        <v>8.75</v>
      </c>
      <c r="P181" s="51">
        <v>0</v>
      </c>
      <c r="Q181" s="51">
        <v>4</v>
      </c>
      <c r="R181" s="51">
        <v>4</v>
      </c>
      <c r="S181" s="57" t="s">
        <v>48</v>
      </c>
      <c r="T181" s="51" t="s">
        <v>94</v>
      </c>
      <c r="U181" s="51">
        <v>2</v>
      </c>
      <c r="V181" s="51">
        <v>10</v>
      </c>
      <c r="W181" s="51">
        <v>3</v>
      </c>
      <c r="X181" s="51" t="s">
        <v>69</v>
      </c>
      <c r="Y181" s="57" t="s">
        <v>65</v>
      </c>
      <c r="Z181" s="58">
        <v>12.9</v>
      </c>
      <c r="AA181" s="57" t="s">
        <v>114</v>
      </c>
      <c r="AB181" s="59">
        <f t="shared" si="2"/>
        <v>45953</v>
      </c>
    </row>
    <row r="182" spans="1:28" ht="12.75">
      <c r="A182" s="56">
        <v>45953.774340671298</v>
      </c>
      <c r="B182" s="51" t="s">
        <v>362</v>
      </c>
      <c r="C182" s="51" t="s">
        <v>29</v>
      </c>
      <c r="D182" s="51" t="s">
        <v>30</v>
      </c>
      <c r="E182" s="51" t="s">
        <v>31</v>
      </c>
      <c r="F182" s="51" t="s">
        <v>53</v>
      </c>
      <c r="G182" s="51" t="s">
        <v>33</v>
      </c>
      <c r="H182" s="51">
        <v>22</v>
      </c>
      <c r="I182" s="51" t="s">
        <v>34</v>
      </c>
      <c r="J182" s="51" t="s">
        <v>35</v>
      </c>
      <c r="K182" s="51" t="s">
        <v>36</v>
      </c>
      <c r="L182" s="51" t="s">
        <v>74</v>
      </c>
      <c r="M182" s="51">
        <v>3</v>
      </c>
      <c r="N182" s="51">
        <v>2</v>
      </c>
      <c r="O182" s="52">
        <v>7.5</v>
      </c>
      <c r="P182" s="51">
        <v>0</v>
      </c>
      <c r="Q182" s="51">
        <v>4</v>
      </c>
      <c r="R182" s="51">
        <v>1</v>
      </c>
      <c r="S182" s="57" t="s">
        <v>135</v>
      </c>
      <c r="T182" s="51" t="s">
        <v>39</v>
      </c>
      <c r="U182" s="51">
        <v>3</v>
      </c>
      <c r="V182" s="51">
        <v>9</v>
      </c>
      <c r="W182" s="51">
        <v>2</v>
      </c>
      <c r="X182" s="51" t="s">
        <v>69</v>
      </c>
      <c r="Y182" s="57" t="s">
        <v>272</v>
      </c>
      <c r="Z182" s="58">
        <v>29.99</v>
      </c>
      <c r="AA182" s="57" t="s">
        <v>114</v>
      </c>
      <c r="AB182" s="59">
        <f t="shared" si="2"/>
        <v>45953</v>
      </c>
    </row>
    <row r="183" spans="1:28" ht="12.75">
      <c r="A183" s="56">
        <v>45953.785473402779</v>
      </c>
      <c r="B183" s="51" t="s">
        <v>363</v>
      </c>
      <c r="C183" s="51" t="s">
        <v>29</v>
      </c>
      <c r="D183" s="51" t="s">
        <v>30</v>
      </c>
      <c r="E183" s="51" t="s">
        <v>31</v>
      </c>
      <c r="F183" s="51" t="s">
        <v>53</v>
      </c>
      <c r="G183" s="51" t="s">
        <v>33</v>
      </c>
      <c r="H183" s="51">
        <v>22</v>
      </c>
      <c r="I183" s="51" t="s">
        <v>34</v>
      </c>
      <c r="J183" s="51" t="s">
        <v>64</v>
      </c>
      <c r="K183" s="51" t="s">
        <v>36</v>
      </c>
      <c r="L183" s="51" t="s">
        <v>68</v>
      </c>
      <c r="M183" s="51">
        <v>1</v>
      </c>
      <c r="N183" s="51">
        <v>1</v>
      </c>
      <c r="O183" s="52">
        <v>2.75</v>
      </c>
      <c r="P183" s="51">
        <v>1</v>
      </c>
      <c r="Q183" s="51">
        <v>4</v>
      </c>
      <c r="R183" s="51">
        <v>1</v>
      </c>
      <c r="S183" s="57" t="s">
        <v>364</v>
      </c>
      <c r="T183" s="51" t="s">
        <v>39</v>
      </c>
      <c r="U183" s="51">
        <v>1</v>
      </c>
      <c r="V183" s="51">
        <v>7</v>
      </c>
      <c r="W183" s="51">
        <v>2</v>
      </c>
      <c r="X183" s="51" t="s">
        <v>60</v>
      </c>
      <c r="Y183" s="57" t="s">
        <v>76</v>
      </c>
      <c r="Z183" s="58">
        <v>15.7</v>
      </c>
      <c r="AA183" s="57" t="s">
        <v>66</v>
      </c>
      <c r="AB183" s="59">
        <f t="shared" si="2"/>
        <v>45953</v>
      </c>
    </row>
    <row r="184" spans="1:28" ht="12.75">
      <c r="A184" s="56">
        <v>45953.807057337966</v>
      </c>
      <c r="B184" s="51" t="s">
        <v>365</v>
      </c>
      <c r="C184" s="51" t="s">
        <v>29</v>
      </c>
      <c r="D184" s="51" t="s">
        <v>30</v>
      </c>
      <c r="E184" s="51" t="s">
        <v>31</v>
      </c>
      <c r="F184" s="51" t="s">
        <v>32</v>
      </c>
      <c r="G184" s="51" t="s">
        <v>33</v>
      </c>
      <c r="H184" s="51">
        <v>22</v>
      </c>
      <c r="I184" s="51" t="s">
        <v>34</v>
      </c>
      <c r="J184" s="51" t="s">
        <v>35</v>
      </c>
      <c r="K184" s="51" t="s">
        <v>36</v>
      </c>
      <c r="L184" s="51" t="s">
        <v>366</v>
      </c>
      <c r="M184" s="51">
        <v>3</v>
      </c>
      <c r="N184" s="51">
        <v>5</v>
      </c>
      <c r="O184" s="52">
        <v>16</v>
      </c>
      <c r="P184" s="51">
        <v>2</v>
      </c>
      <c r="Q184" s="51">
        <v>5</v>
      </c>
      <c r="R184" s="51">
        <v>5</v>
      </c>
      <c r="S184" s="57" t="s">
        <v>367</v>
      </c>
      <c r="T184" s="51" t="s">
        <v>39</v>
      </c>
      <c r="U184" s="51">
        <v>3</v>
      </c>
      <c r="V184" s="51">
        <v>10</v>
      </c>
      <c r="W184" s="51">
        <v>3</v>
      </c>
      <c r="X184" s="51" t="s">
        <v>50</v>
      </c>
      <c r="Y184" s="57" t="s">
        <v>41</v>
      </c>
      <c r="Z184" s="58">
        <v>31.5</v>
      </c>
      <c r="AA184" s="57" t="s">
        <v>122</v>
      </c>
      <c r="AB184" s="59">
        <f t="shared" si="2"/>
        <v>45953</v>
      </c>
    </row>
    <row r="185" spans="1:28" ht="12.75">
      <c r="A185" s="56">
        <v>45953.815586909725</v>
      </c>
      <c r="B185" s="51" t="s">
        <v>368</v>
      </c>
      <c r="C185" s="51" t="s">
        <v>29</v>
      </c>
      <c r="D185" s="51" t="s">
        <v>30</v>
      </c>
      <c r="E185" s="51" t="s">
        <v>31</v>
      </c>
      <c r="F185" s="51" t="s">
        <v>32</v>
      </c>
      <c r="G185" s="51" t="s">
        <v>54</v>
      </c>
      <c r="H185" s="51">
        <v>22</v>
      </c>
      <c r="I185" s="51" t="s">
        <v>34</v>
      </c>
      <c r="J185" s="51" t="s">
        <v>35</v>
      </c>
      <c r="K185" s="51" t="s">
        <v>36</v>
      </c>
      <c r="L185" s="51" t="s">
        <v>74</v>
      </c>
      <c r="M185" s="51">
        <v>3</v>
      </c>
      <c r="N185" s="51">
        <v>5</v>
      </c>
      <c r="O185" s="52">
        <v>10</v>
      </c>
      <c r="P185" s="51">
        <v>4</v>
      </c>
      <c r="Q185" s="51">
        <v>5</v>
      </c>
      <c r="R185" s="51">
        <v>5</v>
      </c>
      <c r="S185" s="57" t="s">
        <v>369</v>
      </c>
      <c r="T185" s="51" t="s">
        <v>102</v>
      </c>
      <c r="U185" s="51">
        <v>6</v>
      </c>
      <c r="V185" s="51">
        <v>10</v>
      </c>
      <c r="W185" s="51">
        <v>3</v>
      </c>
      <c r="X185" s="51" t="s">
        <v>50</v>
      </c>
      <c r="Y185" s="57" t="s">
        <v>95</v>
      </c>
      <c r="Z185" s="58">
        <v>45</v>
      </c>
      <c r="AA185" s="57" t="s">
        <v>215</v>
      </c>
      <c r="AB185" s="59">
        <f t="shared" si="2"/>
        <v>45953</v>
      </c>
    </row>
    <row r="186" spans="1:28" ht="12.75">
      <c r="A186" s="56">
        <v>45953.823104039351</v>
      </c>
      <c r="B186" s="51" t="s">
        <v>370</v>
      </c>
      <c r="C186" s="51" t="s">
        <v>29</v>
      </c>
      <c r="D186" s="51" t="s">
        <v>30</v>
      </c>
      <c r="E186" s="51" t="s">
        <v>31</v>
      </c>
      <c r="F186" s="51" t="s">
        <v>32</v>
      </c>
      <c r="G186" s="51" t="s">
        <v>33</v>
      </c>
      <c r="H186" s="51">
        <v>22</v>
      </c>
      <c r="I186" s="51" t="s">
        <v>45</v>
      </c>
      <c r="J186" s="51" t="s">
        <v>64</v>
      </c>
      <c r="K186" s="51" t="s">
        <v>36</v>
      </c>
      <c r="L186" s="51" t="s">
        <v>100</v>
      </c>
      <c r="M186" s="51">
        <v>2</v>
      </c>
      <c r="N186" s="51">
        <v>3</v>
      </c>
      <c r="O186" s="52">
        <v>2</v>
      </c>
      <c r="P186" s="51">
        <v>1</v>
      </c>
      <c r="Q186" s="51">
        <v>4</v>
      </c>
      <c r="R186" s="51">
        <v>5</v>
      </c>
      <c r="S186" s="57" t="s">
        <v>141</v>
      </c>
      <c r="T186" s="51" t="s">
        <v>102</v>
      </c>
      <c r="U186" s="51">
        <v>7</v>
      </c>
      <c r="V186" s="51">
        <v>10</v>
      </c>
      <c r="W186" s="51">
        <v>1</v>
      </c>
      <c r="X186" s="51" t="s">
        <v>69</v>
      </c>
      <c r="Y186" s="57" t="s">
        <v>95</v>
      </c>
      <c r="Z186" s="58">
        <v>15</v>
      </c>
      <c r="AA186" s="57" t="s">
        <v>139</v>
      </c>
      <c r="AB186" s="59">
        <f t="shared" si="2"/>
        <v>45953</v>
      </c>
    </row>
    <row r="187" spans="1:28" ht="12.75">
      <c r="A187" s="56">
        <v>45954.417938634258</v>
      </c>
      <c r="B187" s="51" t="s">
        <v>371</v>
      </c>
      <c r="C187" s="51" t="s">
        <v>29</v>
      </c>
      <c r="D187" s="51" t="s">
        <v>30</v>
      </c>
      <c r="E187" s="51" t="s">
        <v>31</v>
      </c>
      <c r="F187" s="51" t="s">
        <v>44</v>
      </c>
      <c r="G187" s="51" t="s">
        <v>54</v>
      </c>
      <c r="H187" s="51">
        <v>22</v>
      </c>
      <c r="I187" s="51" t="s">
        <v>34</v>
      </c>
      <c r="J187" s="51" t="s">
        <v>79</v>
      </c>
      <c r="K187" s="51" t="s">
        <v>36</v>
      </c>
      <c r="L187" s="51" t="s">
        <v>68</v>
      </c>
      <c r="M187" s="51">
        <v>2</v>
      </c>
      <c r="N187" s="51">
        <v>2</v>
      </c>
      <c r="O187" s="52">
        <v>2</v>
      </c>
      <c r="P187" s="51">
        <v>0</v>
      </c>
      <c r="Q187" s="51">
        <v>4</v>
      </c>
      <c r="R187" s="51">
        <v>4</v>
      </c>
      <c r="S187" s="57" t="s">
        <v>38</v>
      </c>
      <c r="T187" s="51" t="s">
        <v>49</v>
      </c>
      <c r="U187" s="51">
        <v>2</v>
      </c>
      <c r="V187" s="51">
        <v>9</v>
      </c>
      <c r="W187" s="51">
        <v>1</v>
      </c>
      <c r="X187" s="51" t="s">
        <v>50</v>
      </c>
      <c r="Y187" s="57" t="s">
        <v>231</v>
      </c>
      <c r="Z187" s="58">
        <v>15</v>
      </c>
      <c r="AA187" s="57" t="s">
        <v>242</v>
      </c>
      <c r="AB187" s="59">
        <f t="shared" si="2"/>
        <v>45954</v>
      </c>
    </row>
    <row r="188" spans="1:28" ht="12.75">
      <c r="A188" s="56">
        <v>45954.425758668978</v>
      </c>
      <c r="B188" s="51" t="s">
        <v>372</v>
      </c>
      <c r="C188" s="51" t="s">
        <v>29</v>
      </c>
      <c r="D188" s="51" t="s">
        <v>30</v>
      </c>
      <c r="E188" s="51" t="s">
        <v>31</v>
      </c>
      <c r="F188" s="51" t="s">
        <v>44</v>
      </c>
      <c r="G188" s="51" t="s">
        <v>33</v>
      </c>
      <c r="H188" s="51">
        <v>22</v>
      </c>
      <c r="I188" s="51" t="s">
        <v>45</v>
      </c>
      <c r="J188" s="51" t="s">
        <v>46</v>
      </c>
      <c r="K188" s="51" t="s">
        <v>36</v>
      </c>
      <c r="L188" s="51" t="s">
        <v>74</v>
      </c>
      <c r="M188" s="51">
        <v>1</v>
      </c>
      <c r="N188" s="51">
        <v>1</v>
      </c>
      <c r="O188" s="52">
        <v>0</v>
      </c>
      <c r="P188" s="51">
        <v>0</v>
      </c>
      <c r="Q188" s="51">
        <v>2</v>
      </c>
      <c r="R188" s="51">
        <v>2</v>
      </c>
      <c r="S188" s="57" t="s">
        <v>141</v>
      </c>
      <c r="T188" s="51" t="s">
        <v>39</v>
      </c>
      <c r="U188" s="51">
        <v>1</v>
      </c>
      <c r="V188" s="51">
        <v>10</v>
      </c>
      <c r="W188" s="51">
        <v>2</v>
      </c>
      <c r="X188" s="51" t="s">
        <v>50</v>
      </c>
      <c r="Y188" s="57" t="s">
        <v>106</v>
      </c>
      <c r="Z188" s="58">
        <v>0</v>
      </c>
      <c r="AA188" s="57" t="s">
        <v>157</v>
      </c>
      <c r="AB188" s="59">
        <f t="shared" si="2"/>
        <v>45954</v>
      </c>
    </row>
    <row r="189" spans="1:28" ht="12.75">
      <c r="A189" s="56">
        <v>45954.430259525463</v>
      </c>
      <c r="B189" s="51" t="s">
        <v>373</v>
      </c>
      <c r="C189" s="51" t="s">
        <v>29</v>
      </c>
      <c r="D189" s="51" t="s">
        <v>30</v>
      </c>
      <c r="E189" s="51" t="s">
        <v>31</v>
      </c>
      <c r="F189" s="51" t="s">
        <v>44</v>
      </c>
      <c r="G189" s="51" t="s">
        <v>33</v>
      </c>
      <c r="H189" s="51">
        <v>22</v>
      </c>
      <c r="I189" s="51" t="s">
        <v>45</v>
      </c>
      <c r="J189" s="51" t="s">
        <v>108</v>
      </c>
      <c r="K189" s="51" t="s">
        <v>36</v>
      </c>
      <c r="L189" s="51" t="s">
        <v>68</v>
      </c>
      <c r="M189" s="51">
        <v>2</v>
      </c>
      <c r="N189" s="51">
        <v>2</v>
      </c>
      <c r="O189" s="52">
        <v>3</v>
      </c>
      <c r="P189" s="51">
        <v>1</v>
      </c>
      <c r="Q189" s="51">
        <v>3</v>
      </c>
      <c r="R189" s="51">
        <v>3</v>
      </c>
      <c r="S189" s="57" t="s">
        <v>38</v>
      </c>
      <c r="T189" s="51" t="s">
        <v>39</v>
      </c>
      <c r="U189" s="51">
        <v>3</v>
      </c>
      <c r="V189" s="51">
        <v>9</v>
      </c>
      <c r="W189" s="51">
        <v>2</v>
      </c>
      <c r="X189" s="51" t="s">
        <v>50</v>
      </c>
      <c r="Y189" s="57" t="s">
        <v>106</v>
      </c>
      <c r="Z189" s="58">
        <v>25</v>
      </c>
      <c r="AA189" s="57" t="s">
        <v>157</v>
      </c>
      <c r="AB189" s="59">
        <f t="shared" si="2"/>
        <v>45954</v>
      </c>
    </row>
    <row r="190" spans="1:28" ht="12.75">
      <c r="A190" s="56">
        <v>45954.446342662035</v>
      </c>
      <c r="B190" s="51" t="s">
        <v>374</v>
      </c>
      <c r="C190" s="51" t="s">
        <v>29</v>
      </c>
      <c r="D190" s="51" t="s">
        <v>30</v>
      </c>
      <c r="E190" s="51" t="s">
        <v>31</v>
      </c>
      <c r="F190" s="51" t="s">
        <v>44</v>
      </c>
      <c r="G190" s="51" t="s">
        <v>54</v>
      </c>
      <c r="H190" s="51">
        <v>22</v>
      </c>
      <c r="I190" s="51" t="s">
        <v>34</v>
      </c>
      <c r="J190" s="51" t="s">
        <v>64</v>
      </c>
      <c r="K190" s="51" t="s">
        <v>36</v>
      </c>
      <c r="L190" s="51" t="s">
        <v>68</v>
      </c>
      <c r="M190" s="51">
        <v>3</v>
      </c>
      <c r="N190" s="51">
        <v>3</v>
      </c>
      <c r="O190" s="52">
        <v>2</v>
      </c>
      <c r="P190" s="51">
        <v>1</v>
      </c>
      <c r="Q190" s="51">
        <v>4</v>
      </c>
      <c r="R190" s="51">
        <v>4</v>
      </c>
      <c r="S190" s="57" t="s">
        <v>48</v>
      </c>
      <c r="T190" s="51" t="s">
        <v>49</v>
      </c>
      <c r="U190" s="51">
        <v>2</v>
      </c>
      <c r="V190" s="51">
        <v>9</v>
      </c>
      <c r="W190" s="51">
        <v>3</v>
      </c>
      <c r="X190" s="51" t="s">
        <v>50</v>
      </c>
      <c r="Y190" s="57" t="s">
        <v>82</v>
      </c>
      <c r="Z190" s="58">
        <v>15</v>
      </c>
      <c r="AA190" s="57" t="s">
        <v>83</v>
      </c>
      <c r="AB190" s="59">
        <f t="shared" si="2"/>
        <v>45954</v>
      </c>
    </row>
    <row r="191" spans="1:28" ht="12.75">
      <c r="A191" s="56">
        <v>45954.485885069444</v>
      </c>
      <c r="B191" s="51" t="s">
        <v>375</v>
      </c>
      <c r="C191" s="51" t="s">
        <v>29</v>
      </c>
      <c r="D191" s="51" t="s">
        <v>30</v>
      </c>
      <c r="E191" s="51" t="s">
        <v>31</v>
      </c>
      <c r="F191" s="51" t="s">
        <v>44</v>
      </c>
      <c r="G191" s="51" t="s">
        <v>33</v>
      </c>
      <c r="H191" s="51">
        <v>22</v>
      </c>
      <c r="I191" s="51" t="s">
        <v>34</v>
      </c>
      <c r="J191" s="51" t="s">
        <v>46</v>
      </c>
      <c r="K191" s="51" t="s">
        <v>36</v>
      </c>
      <c r="L191" s="51" t="s">
        <v>74</v>
      </c>
      <c r="M191" s="51">
        <v>2</v>
      </c>
      <c r="N191" s="51">
        <v>2</v>
      </c>
      <c r="O191" s="52">
        <v>1</v>
      </c>
      <c r="P191" s="51">
        <v>0</v>
      </c>
      <c r="Q191" s="51">
        <v>4</v>
      </c>
      <c r="R191" s="51">
        <v>3</v>
      </c>
      <c r="S191" s="57" t="s">
        <v>38</v>
      </c>
      <c r="T191" s="51" t="s">
        <v>49</v>
      </c>
      <c r="U191" s="51">
        <v>2</v>
      </c>
      <c r="V191" s="51">
        <v>8</v>
      </c>
      <c r="W191" s="51">
        <v>2</v>
      </c>
      <c r="X191" s="51" t="s">
        <v>50</v>
      </c>
      <c r="Y191" s="57" t="s">
        <v>106</v>
      </c>
      <c r="Z191" s="58">
        <v>10</v>
      </c>
      <c r="AA191" s="57" t="s">
        <v>157</v>
      </c>
      <c r="AB191" s="59">
        <f t="shared" si="2"/>
        <v>45954</v>
      </c>
    </row>
    <row r="192" spans="1:28" ht="12.75">
      <c r="A192" s="56">
        <v>45954.508032812504</v>
      </c>
      <c r="B192" s="51" t="s">
        <v>376</v>
      </c>
      <c r="C192" s="51" t="s">
        <v>29</v>
      </c>
      <c r="D192" s="51" t="s">
        <v>30</v>
      </c>
      <c r="E192" s="51" t="s">
        <v>31</v>
      </c>
      <c r="F192" s="51" t="s">
        <v>44</v>
      </c>
      <c r="G192" s="51" t="s">
        <v>33</v>
      </c>
      <c r="H192" s="51">
        <v>22</v>
      </c>
      <c r="I192" s="51" t="s">
        <v>45</v>
      </c>
      <c r="J192" s="51" t="s">
        <v>89</v>
      </c>
      <c r="K192" s="51" t="s">
        <v>90</v>
      </c>
      <c r="L192" s="51" t="s">
        <v>47</v>
      </c>
      <c r="M192" s="51">
        <v>1</v>
      </c>
      <c r="N192" s="51">
        <v>1</v>
      </c>
      <c r="O192" s="52">
        <v>0</v>
      </c>
      <c r="P192" s="51">
        <v>0</v>
      </c>
      <c r="Q192" s="51">
        <v>3</v>
      </c>
      <c r="R192" s="51">
        <v>2</v>
      </c>
      <c r="S192" s="57" t="s">
        <v>91</v>
      </c>
      <c r="T192" s="51" t="s">
        <v>81</v>
      </c>
      <c r="U192" s="51">
        <v>0</v>
      </c>
      <c r="V192" s="51">
        <v>6</v>
      </c>
      <c r="W192" s="51">
        <v>1</v>
      </c>
      <c r="X192" s="51" t="s">
        <v>40</v>
      </c>
      <c r="Y192" s="57" t="s">
        <v>106</v>
      </c>
      <c r="Z192" s="58">
        <v>0</v>
      </c>
      <c r="AA192" s="57" t="s">
        <v>83</v>
      </c>
      <c r="AB192" s="59">
        <f t="shared" si="2"/>
        <v>45954</v>
      </c>
    </row>
    <row r="193" spans="1:28" ht="12.75">
      <c r="A193" s="56">
        <v>45954.513718877315</v>
      </c>
      <c r="B193" s="51" t="s">
        <v>377</v>
      </c>
      <c r="C193" s="51" t="s">
        <v>29</v>
      </c>
      <c r="D193" s="51" t="s">
        <v>30</v>
      </c>
      <c r="E193" s="51" t="s">
        <v>31</v>
      </c>
      <c r="F193" s="51" t="s">
        <v>44</v>
      </c>
      <c r="G193" s="51" t="s">
        <v>33</v>
      </c>
      <c r="H193" s="51">
        <v>22</v>
      </c>
      <c r="I193" s="51" t="s">
        <v>34</v>
      </c>
      <c r="J193" s="51" t="s">
        <v>46</v>
      </c>
      <c r="K193" s="51" t="s">
        <v>36</v>
      </c>
      <c r="L193" s="51" t="s">
        <v>113</v>
      </c>
      <c r="M193" s="51">
        <v>3</v>
      </c>
      <c r="N193" s="51">
        <v>1</v>
      </c>
      <c r="O193" s="52">
        <v>3</v>
      </c>
      <c r="P193" s="51">
        <v>1</v>
      </c>
      <c r="Q193" s="51">
        <v>5</v>
      </c>
      <c r="R193" s="51">
        <v>3</v>
      </c>
      <c r="S193" s="57" t="s">
        <v>38</v>
      </c>
      <c r="T193" s="51" t="s">
        <v>39</v>
      </c>
      <c r="U193" s="51">
        <v>3</v>
      </c>
      <c r="V193" s="51">
        <v>9</v>
      </c>
      <c r="W193" s="51">
        <v>3</v>
      </c>
      <c r="X193" s="51" t="s">
        <v>50</v>
      </c>
      <c r="Y193" s="57" t="s">
        <v>82</v>
      </c>
      <c r="Z193" s="58">
        <v>15</v>
      </c>
      <c r="AA193" s="57" t="s">
        <v>83</v>
      </c>
      <c r="AB193" s="59">
        <f t="shared" si="2"/>
        <v>45954</v>
      </c>
    </row>
    <row r="194" spans="1:28" ht="12.75">
      <c r="A194" s="56">
        <v>45954.563335636572</v>
      </c>
      <c r="B194" s="51" t="s">
        <v>378</v>
      </c>
      <c r="C194" s="51" t="s">
        <v>29</v>
      </c>
      <c r="D194" s="51" t="s">
        <v>30</v>
      </c>
      <c r="E194" s="51" t="s">
        <v>31</v>
      </c>
      <c r="F194" s="51" t="s">
        <v>44</v>
      </c>
      <c r="G194" s="51" t="s">
        <v>54</v>
      </c>
      <c r="H194" s="51">
        <v>22</v>
      </c>
      <c r="I194" s="51" t="s">
        <v>34</v>
      </c>
      <c r="J194" s="51" t="s">
        <v>64</v>
      </c>
      <c r="K194" s="51" t="s">
        <v>36</v>
      </c>
      <c r="L194" s="51" t="s">
        <v>68</v>
      </c>
      <c r="M194" s="51">
        <v>3</v>
      </c>
      <c r="N194" s="51">
        <v>2</v>
      </c>
      <c r="O194" s="52">
        <v>2</v>
      </c>
      <c r="P194" s="51">
        <v>1</v>
      </c>
      <c r="Q194" s="51">
        <v>4</v>
      </c>
      <c r="R194" s="51">
        <v>3</v>
      </c>
      <c r="S194" s="57" t="s">
        <v>48</v>
      </c>
      <c r="T194" s="51" t="s">
        <v>49</v>
      </c>
      <c r="U194" s="51">
        <v>2</v>
      </c>
      <c r="V194" s="51">
        <v>9</v>
      </c>
      <c r="W194" s="51">
        <v>3</v>
      </c>
      <c r="X194" s="51" t="s">
        <v>50</v>
      </c>
      <c r="Y194" s="57" t="s">
        <v>82</v>
      </c>
      <c r="Z194" s="58">
        <v>10</v>
      </c>
      <c r="AA194" s="57" t="s">
        <v>122</v>
      </c>
      <c r="AB194" s="59">
        <f t="shared" ref="AB194:AB257" si="3">INT(A194)</f>
        <v>45954</v>
      </c>
    </row>
    <row r="195" spans="1:28" ht="12.75">
      <c r="A195" s="56">
        <v>45954.584730821764</v>
      </c>
      <c r="B195" s="51" t="s">
        <v>379</v>
      </c>
      <c r="C195" s="51" t="s">
        <v>29</v>
      </c>
      <c r="D195" s="51" t="s">
        <v>30</v>
      </c>
      <c r="E195" s="51" t="s">
        <v>31</v>
      </c>
      <c r="F195" s="51" t="s">
        <v>44</v>
      </c>
      <c r="G195" s="51" t="s">
        <v>33</v>
      </c>
      <c r="H195" s="51">
        <v>22</v>
      </c>
      <c r="I195" s="51" t="s">
        <v>34</v>
      </c>
      <c r="J195" s="51" t="s">
        <v>46</v>
      </c>
      <c r="K195" s="51" t="s">
        <v>36</v>
      </c>
      <c r="L195" s="51" t="s">
        <v>68</v>
      </c>
      <c r="M195" s="51">
        <v>3</v>
      </c>
      <c r="N195" s="51">
        <v>3</v>
      </c>
      <c r="O195" s="52">
        <v>3</v>
      </c>
      <c r="P195" s="51">
        <v>1</v>
      </c>
      <c r="Q195" s="51">
        <v>5</v>
      </c>
      <c r="R195" s="51">
        <v>4</v>
      </c>
      <c r="S195" s="57" t="s">
        <v>48</v>
      </c>
      <c r="T195" s="51" t="s">
        <v>39</v>
      </c>
      <c r="U195" s="51">
        <v>2</v>
      </c>
      <c r="V195" s="51">
        <v>9</v>
      </c>
      <c r="W195" s="51">
        <v>3</v>
      </c>
      <c r="X195" s="51" t="s">
        <v>50</v>
      </c>
      <c r="Y195" s="57" t="s">
        <v>82</v>
      </c>
      <c r="Z195" s="58">
        <v>20</v>
      </c>
      <c r="AA195" s="57" t="s">
        <v>122</v>
      </c>
      <c r="AB195" s="59">
        <f t="shared" si="3"/>
        <v>45954</v>
      </c>
    </row>
    <row r="196" spans="1:28" ht="12.75">
      <c r="A196" s="56">
        <v>45954.724053715283</v>
      </c>
      <c r="B196" s="51" t="s">
        <v>380</v>
      </c>
      <c r="C196" s="51" t="s">
        <v>29</v>
      </c>
      <c r="D196" s="51" t="s">
        <v>30</v>
      </c>
      <c r="E196" s="51" t="s">
        <v>31</v>
      </c>
      <c r="F196" s="51" t="s">
        <v>44</v>
      </c>
      <c r="G196" s="51" t="s">
        <v>33</v>
      </c>
      <c r="H196" s="51">
        <v>22</v>
      </c>
      <c r="I196" s="51" t="s">
        <v>45</v>
      </c>
      <c r="J196" s="51" t="s">
        <v>89</v>
      </c>
      <c r="K196" s="51" t="s">
        <v>90</v>
      </c>
      <c r="L196" s="51" t="s">
        <v>47</v>
      </c>
      <c r="M196" s="51">
        <v>1</v>
      </c>
      <c r="N196" s="51">
        <v>1</v>
      </c>
      <c r="O196" s="52">
        <v>0</v>
      </c>
      <c r="P196" s="51">
        <v>0</v>
      </c>
      <c r="Q196" s="51">
        <v>3</v>
      </c>
      <c r="R196" s="51">
        <v>2</v>
      </c>
      <c r="S196" s="57" t="s">
        <v>91</v>
      </c>
      <c r="T196" s="51" t="s">
        <v>81</v>
      </c>
      <c r="U196" s="51">
        <v>0</v>
      </c>
      <c r="V196" s="51">
        <v>5</v>
      </c>
      <c r="W196" s="51">
        <v>1</v>
      </c>
      <c r="X196" s="51" t="s">
        <v>40</v>
      </c>
      <c r="Y196" s="57" t="s">
        <v>41</v>
      </c>
      <c r="Z196" s="58">
        <v>0</v>
      </c>
      <c r="AA196" s="57" t="s">
        <v>381</v>
      </c>
      <c r="AB196" s="59">
        <f t="shared" si="3"/>
        <v>45954</v>
      </c>
    </row>
    <row r="197" spans="1:28" ht="12.75">
      <c r="A197" s="56">
        <v>45954.738478483792</v>
      </c>
      <c r="B197" s="51" t="s">
        <v>382</v>
      </c>
      <c r="C197" s="51" t="s">
        <v>29</v>
      </c>
      <c r="D197" s="51" t="s">
        <v>30</v>
      </c>
      <c r="E197" s="51" t="s">
        <v>31</v>
      </c>
      <c r="F197" s="51" t="s">
        <v>44</v>
      </c>
      <c r="G197" s="51" t="s">
        <v>33</v>
      </c>
      <c r="H197" s="51">
        <v>22</v>
      </c>
      <c r="I197" s="51" t="s">
        <v>99</v>
      </c>
      <c r="J197" s="51" t="s">
        <v>35</v>
      </c>
      <c r="K197" s="51" t="s">
        <v>36</v>
      </c>
      <c r="L197" s="51" t="s">
        <v>100</v>
      </c>
      <c r="M197" s="51">
        <v>3</v>
      </c>
      <c r="N197" s="51">
        <v>3</v>
      </c>
      <c r="O197" s="52">
        <v>4</v>
      </c>
      <c r="P197" s="51">
        <v>1</v>
      </c>
      <c r="Q197" s="51">
        <v>5</v>
      </c>
      <c r="R197" s="51">
        <v>4</v>
      </c>
      <c r="S197" s="57" t="s">
        <v>38</v>
      </c>
      <c r="T197" s="51" t="s">
        <v>39</v>
      </c>
      <c r="U197" s="51">
        <v>3</v>
      </c>
      <c r="V197" s="51">
        <v>10</v>
      </c>
      <c r="W197" s="51">
        <v>3</v>
      </c>
      <c r="X197" s="51" t="s">
        <v>69</v>
      </c>
      <c r="Y197" s="57" t="s">
        <v>65</v>
      </c>
      <c r="Z197" s="58">
        <v>25</v>
      </c>
      <c r="AA197" s="57" t="s">
        <v>83</v>
      </c>
      <c r="AB197" s="59">
        <f t="shared" si="3"/>
        <v>45954</v>
      </c>
    </row>
    <row r="198" spans="1:28" ht="12.75">
      <c r="A198" s="56">
        <v>45954.750706215273</v>
      </c>
      <c r="B198" s="51" t="s">
        <v>383</v>
      </c>
      <c r="C198" s="51" t="s">
        <v>29</v>
      </c>
      <c r="D198" s="51" t="s">
        <v>30</v>
      </c>
      <c r="E198" s="51" t="s">
        <v>31</v>
      </c>
      <c r="F198" s="51" t="s">
        <v>44</v>
      </c>
      <c r="G198" s="51" t="s">
        <v>54</v>
      </c>
      <c r="H198" s="51">
        <v>22</v>
      </c>
      <c r="I198" s="51" t="s">
        <v>34</v>
      </c>
      <c r="J198" s="51" t="s">
        <v>46</v>
      </c>
      <c r="K198" s="51" t="s">
        <v>36</v>
      </c>
      <c r="L198" s="51" t="s">
        <v>68</v>
      </c>
      <c r="M198" s="51">
        <v>3</v>
      </c>
      <c r="N198" s="51">
        <v>3</v>
      </c>
      <c r="O198" s="52">
        <v>2.5</v>
      </c>
      <c r="P198" s="51">
        <v>1</v>
      </c>
      <c r="Q198" s="51">
        <v>4</v>
      </c>
      <c r="R198" s="51">
        <v>4</v>
      </c>
      <c r="S198" s="57" t="s">
        <v>141</v>
      </c>
      <c r="T198" s="51" t="s">
        <v>49</v>
      </c>
      <c r="U198" s="51">
        <v>2</v>
      </c>
      <c r="V198" s="51">
        <v>9</v>
      </c>
      <c r="W198" s="51">
        <v>3</v>
      </c>
      <c r="X198" s="51" t="s">
        <v>50</v>
      </c>
      <c r="Y198" s="57" t="s">
        <v>82</v>
      </c>
      <c r="Z198" s="58">
        <v>10</v>
      </c>
      <c r="AA198" s="57" t="s">
        <v>114</v>
      </c>
      <c r="AB198" s="59">
        <f t="shared" si="3"/>
        <v>45954</v>
      </c>
    </row>
    <row r="199" spans="1:28" ht="12.75">
      <c r="A199" s="56">
        <v>45954.766932268518</v>
      </c>
      <c r="B199" s="51" t="s">
        <v>384</v>
      </c>
      <c r="C199" s="51" t="s">
        <v>29</v>
      </c>
      <c r="D199" s="51" t="s">
        <v>30</v>
      </c>
      <c r="E199" s="51" t="s">
        <v>31</v>
      </c>
      <c r="F199" s="51" t="s">
        <v>44</v>
      </c>
      <c r="G199" s="51" t="s">
        <v>33</v>
      </c>
      <c r="H199" s="51">
        <v>22</v>
      </c>
      <c r="I199" s="51" t="s">
        <v>45</v>
      </c>
      <c r="J199" s="51" t="s">
        <v>108</v>
      </c>
      <c r="K199" s="51" t="s">
        <v>36</v>
      </c>
      <c r="L199" s="51" t="s">
        <v>68</v>
      </c>
      <c r="M199" s="51">
        <v>3</v>
      </c>
      <c r="N199" s="51">
        <v>2</v>
      </c>
      <c r="O199" s="52">
        <v>5</v>
      </c>
      <c r="P199" s="51">
        <v>0</v>
      </c>
      <c r="Q199" s="51">
        <v>5</v>
      </c>
      <c r="R199" s="51">
        <v>5</v>
      </c>
      <c r="S199" s="57" t="s">
        <v>249</v>
      </c>
      <c r="T199" s="51" t="s">
        <v>39</v>
      </c>
      <c r="U199" s="51">
        <v>10</v>
      </c>
      <c r="V199" s="51">
        <v>10</v>
      </c>
      <c r="W199" s="51">
        <v>3</v>
      </c>
      <c r="X199" s="51" t="s">
        <v>69</v>
      </c>
      <c r="Y199" s="57" t="s">
        <v>262</v>
      </c>
      <c r="Z199" s="58">
        <v>50</v>
      </c>
      <c r="AA199" s="57" t="s">
        <v>142</v>
      </c>
      <c r="AB199" s="59">
        <f t="shared" si="3"/>
        <v>45954</v>
      </c>
    </row>
    <row r="200" spans="1:28" ht="12.75">
      <c r="A200" s="56">
        <v>45954.774041412034</v>
      </c>
      <c r="B200" s="51" t="s">
        <v>385</v>
      </c>
      <c r="C200" s="51" t="s">
        <v>29</v>
      </c>
      <c r="D200" s="51" t="s">
        <v>30</v>
      </c>
      <c r="E200" s="51" t="s">
        <v>31</v>
      </c>
      <c r="F200" s="51" t="s">
        <v>85</v>
      </c>
      <c r="G200" s="51" t="s">
        <v>149</v>
      </c>
      <c r="H200" s="51">
        <v>22</v>
      </c>
      <c r="I200" s="51" t="s">
        <v>34</v>
      </c>
      <c r="J200" s="51" t="s">
        <v>64</v>
      </c>
      <c r="K200" s="51" t="s">
        <v>36</v>
      </c>
      <c r="L200" s="51" t="s">
        <v>68</v>
      </c>
      <c r="M200" s="51">
        <v>2</v>
      </c>
      <c r="N200" s="51">
        <v>1</v>
      </c>
      <c r="O200" s="52">
        <v>1</v>
      </c>
      <c r="P200" s="51">
        <v>0</v>
      </c>
      <c r="Q200" s="51">
        <v>1</v>
      </c>
      <c r="R200" s="51">
        <v>1</v>
      </c>
      <c r="S200" s="57" t="s">
        <v>386</v>
      </c>
      <c r="T200" s="51" t="s">
        <v>81</v>
      </c>
      <c r="U200" s="51">
        <v>2</v>
      </c>
      <c r="V200" s="51">
        <v>7</v>
      </c>
      <c r="W200" s="51">
        <v>2</v>
      </c>
      <c r="X200" s="51" t="s">
        <v>50</v>
      </c>
      <c r="Y200" s="57" t="s">
        <v>166</v>
      </c>
      <c r="Z200" s="58">
        <v>0</v>
      </c>
      <c r="AA200" s="57" t="s">
        <v>387</v>
      </c>
      <c r="AB200" s="59">
        <f t="shared" si="3"/>
        <v>45954</v>
      </c>
    </row>
    <row r="201" spans="1:28" ht="12.75">
      <c r="A201" s="56">
        <v>45954.778153657404</v>
      </c>
      <c r="B201" s="51" t="s">
        <v>388</v>
      </c>
      <c r="C201" s="51" t="s">
        <v>29</v>
      </c>
      <c r="D201" s="51" t="s">
        <v>30</v>
      </c>
      <c r="E201" s="51" t="s">
        <v>31</v>
      </c>
      <c r="F201" s="51" t="s">
        <v>85</v>
      </c>
      <c r="G201" s="51" t="s">
        <v>33</v>
      </c>
      <c r="H201" s="51">
        <v>22</v>
      </c>
      <c r="I201" s="51" t="s">
        <v>45</v>
      </c>
      <c r="J201" s="51" t="s">
        <v>64</v>
      </c>
      <c r="K201" s="51" t="s">
        <v>36</v>
      </c>
      <c r="L201" s="51" t="s">
        <v>74</v>
      </c>
      <c r="M201" s="51">
        <v>3</v>
      </c>
      <c r="N201" s="51">
        <v>3</v>
      </c>
      <c r="O201" s="52">
        <v>4</v>
      </c>
      <c r="P201" s="51">
        <v>1</v>
      </c>
      <c r="Q201" s="51">
        <v>3</v>
      </c>
      <c r="R201" s="51">
        <v>4</v>
      </c>
      <c r="S201" s="57" t="s">
        <v>141</v>
      </c>
      <c r="T201" s="51" t="s">
        <v>39</v>
      </c>
      <c r="U201" s="51">
        <v>6</v>
      </c>
      <c r="V201" s="51">
        <v>8</v>
      </c>
      <c r="W201" s="51">
        <v>3</v>
      </c>
      <c r="X201" s="51" t="s">
        <v>40</v>
      </c>
      <c r="Y201" s="57" t="s">
        <v>241</v>
      </c>
      <c r="Z201" s="58">
        <v>130</v>
      </c>
      <c r="AA201" s="57" t="s">
        <v>389</v>
      </c>
      <c r="AB201" s="59">
        <f t="shared" si="3"/>
        <v>45954</v>
      </c>
    </row>
    <row r="202" spans="1:28" ht="12.75">
      <c r="A202" s="56">
        <v>45954.795809097224</v>
      </c>
      <c r="B202" s="51" t="s">
        <v>390</v>
      </c>
      <c r="C202" s="51" t="s">
        <v>29</v>
      </c>
      <c r="D202" s="51" t="s">
        <v>30</v>
      </c>
      <c r="E202" s="51" t="s">
        <v>31</v>
      </c>
      <c r="F202" s="51" t="s">
        <v>85</v>
      </c>
      <c r="G202" s="51" t="s">
        <v>54</v>
      </c>
      <c r="H202" s="51">
        <v>22</v>
      </c>
      <c r="I202" s="51" t="s">
        <v>34</v>
      </c>
      <c r="J202" s="51" t="s">
        <v>79</v>
      </c>
      <c r="K202" s="51" t="s">
        <v>36</v>
      </c>
      <c r="L202" s="51" t="s">
        <v>68</v>
      </c>
      <c r="M202" s="51">
        <v>4</v>
      </c>
      <c r="N202" s="51">
        <v>5</v>
      </c>
      <c r="O202" s="52">
        <v>44</v>
      </c>
      <c r="P202" s="51">
        <v>6</v>
      </c>
      <c r="Q202" s="51">
        <v>5</v>
      </c>
      <c r="R202" s="51">
        <v>5</v>
      </c>
      <c r="S202" s="57" t="s">
        <v>249</v>
      </c>
      <c r="T202" s="51" t="s">
        <v>94</v>
      </c>
      <c r="U202" s="51">
        <v>4</v>
      </c>
      <c r="V202" s="51">
        <v>10</v>
      </c>
      <c r="W202" s="51">
        <v>3</v>
      </c>
      <c r="X202" s="51" t="s">
        <v>40</v>
      </c>
      <c r="Y202" s="57" t="s">
        <v>95</v>
      </c>
      <c r="Z202" s="58">
        <v>309</v>
      </c>
      <c r="AA202" s="57" t="s">
        <v>190</v>
      </c>
      <c r="AB202" s="59">
        <f t="shared" si="3"/>
        <v>45954</v>
      </c>
    </row>
    <row r="203" spans="1:28" ht="12.75">
      <c r="A203" s="56">
        <v>45954.828917743056</v>
      </c>
      <c r="B203" s="51" t="s">
        <v>391</v>
      </c>
      <c r="C203" s="51" t="s">
        <v>29</v>
      </c>
      <c r="D203" s="51" t="s">
        <v>30</v>
      </c>
      <c r="E203" s="51" t="s">
        <v>31</v>
      </c>
      <c r="F203" s="51" t="s">
        <v>85</v>
      </c>
      <c r="G203" s="51" t="s">
        <v>54</v>
      </c>
      <c r="H203" s="51">
        <v>22</v>
      </c>
      <c r="I203" s="51" t="s">
        <v>34</v>
      </c>
      <c r="J203" s="51" t="s">
        <v>64</v>
      </c>
      <c r="K203" s="51" t="s">
        <v>36</v>
      </c>
      <c r="L203" s="51" t="s">
        <v>74</v>
      </c>
      <c r="M203" s="51">
        <v>3</v>
      </c>
      <c r="N203" s="51">
        <v>2</v>
      </c>
      <c r="O203" s="52">
        <v>2</v>
      </c>
      <c r="P203" s="51">
        <v>0</v>
      </c>
      <c r="Q203" s="51">
        <v>3</v>
      </c>
      <c r="R203" s="51">
        <v>2</v>
      </c>
      <c r="S203" s="57" t="s">
        <v>48</v>
      </c>
      <c r="T203" s="51" t="s">
        <v>49</v>
      </c>
      <c r="U203" s="51">
        <v>4</v>
      </c>
      <c r="V203" s="51">
        <v>7</v>
      </c>
      <c r="W203" s="51">
        <v>1</v>
      </c>
      <c r="X203" s="51" t="s">
        <v>40</v>
      </c>
      <c r="Y203" s="57" t="s">
        <v>95</v>
      </c>
      <c r="Z203" s="58">
        <v>0</v>
      </c>
      <c r="AA203" s="57" t="s">
        <v>250</v>
      </c>
      <c r="AB203" s="59">
        <f t="shared" si="3"/>
        <v>45954</v>
      </c>
    </row>
    <row r="204" spans="1:28" ht="12.75">
      <c r="A204" s="56">
        <v>45954.836755821758</v>
      </c>
      <c r="B204" s="51" t="s">
        <v>392</v>
      </c>
      <c r="C204" s="51" t="s">
        <v>29</v>
      </c>
      <c r="D204" s="51" t="s">
        <v>30</v>
      </c>
      <c r="E204" s="51" t="s">
        <v>31</v>
      </c>
      <c r="F204" s="51" t="s">
        <v>85</v>
      </c>
      <c r="G204" s="51" t="s">
        <v>33</v>
      </c>
      <c r="H204" s="51">
        <v>22</v>
      </c>
      <c r="I204" s="51" t="s">
        <v>34</v>
      </c>
      <c r="J204" s="51" t="s">
        <v>35</v>
      </c>
      <c r="K204" s="51" t="s">
        <v>36</v>
      </c>
      <c r="L204" s="51" t="s">
        <v>37</v>
      </c>
      <c r="M204" s="51">
        <v>3</v>
      </c>
      <c r="N204" s="51">
        <v>3</v>
      </c>
      <c r="O204" s="52">
        <v>12</v>
      </c>
      <c r="P204" s="51">
        <v>2</v>
      </c>
      <c r="Q204" s="51">
        <v>4</v>
      </c>
      <c r="R204" s="51">
        <v>4</v>
      </c>
      <c r="S204" s="57" t="s">
        <v>146</v>
      </c>
      <c r="T204" s="51" t="s">
        <v>49</v>
      </c>
      <c r="U204" s="51">
        <v>5</v>
      </c>
      <c r="V204" s="51">
        <v>9</v>
      </c>
      <c r="W204" s="51">
        <v>2</v>
      </c>
      <c r="X204" s="51" t="s">
        <v>40</v>
      </c>
      <c r="Y204" s="57" t="s">
        <v>95</v>
      </c>
      <c r="Z204" s="58">
        <v>150</v>
      </c>
      <c r="AA204" s="57" t="s">
        <v>174</v>
      </c>
      <c r="AB204" s="59">
        <f t="shared" si="3"/>
        <v>45954</v>
      </c>
    </row>
    <row r="205" spans="1:28" ht="12.75">
      <c r="A205" s="56">
        <v>45954.844017986106</v>
      </c>
      <c r="B205" s="51" t="s">
        <v>393</v>
      </c>
      <c r="C205" s="51" t="s">
        <v>29</v>
      </c>
      <c r="D205" s="51" t="s">
        <v>30</v>
      </c>
      <c r="E205" s="51" t="s">
        <v>31</v>
      </c>
      <c r="F205" s="51" t="s">
        <v>85</v>
      </c>
      <c r="G205" s="51" t="s">
        <v>33</v>
      </c>
      <c r="H205" s="51">
        <v>22</v>
      </c>
      <c r="I205" s="51" t="s">
        <v>34</v>
      </c>
      <c r="J205" s="51" t="s">
        <v>46</v>
      </c>
      <c r="K205" s="51" t="s">
        <v>36</v>
      </c>
      <c r="L205" s="51" t="s">
        <v>74</v>
      </c>
      <c r="M205" s="51">
        <v>2</v>
      </c>
      <c r="N205" s="51">
        <v>2</v>
      </c>
      <c r="O205" s="52">
        <v>3</v>
      </c>
      <c r="P205" s="51">
        <v>0</v>
      </c>
      <c r="Q205" s="51">
        <v>2</v>
      </c>
      <c r="R205" s="51">
        <v>2</v>
      </c>
      <c r="S205" s="57" t="s">
        <v>48</v>
      </c>
      <c r="T205" s="51" t="s">
        <v>49</v>
      </c>
      <c r="U205" s="51">
        <v>3</v>
      </c>
      <c r="V205" s="51">
        <v>8</v>
      </c>
      <c r="W205" s="51">
        <v>1</v>
      </c>
      <c r="X205" s="51" t="s">
        <v>40</v>
      </c>
      <c r="Y205" s="57" t="s">
        <v>262</v>
      </c>
      <c r="Z205" s="58">
        <v>0</v>
      </c>
      <c r="AA205" s="57" t="s">
        <v>71</v>
      </c>
      <c r="AB205" s="59">
        <f t="shared" si="3"/>
        <v>45954</v>
      </c>
    </row>
    <row r="206" spans="1:28" ht="12.75">
      <c r="A206" s="56">
        <v>45954.876129479162</v>
      </c>
      <c r="B206" s="51" t="s">
        <v>394</v>
      </c>
      <c r="C206" s="51" t="s">
        <v>29</v>
      </c>
      <c r="D206" s="51" t="s">
        <v>30</v>
      </c>
      <c r="E206" s="51" t="s">
        <v>31</v>
      </c>
      <c r="F206" s="51" t="s">
        <v>32</v>
      </c>
      <c r="G206" s="51" t="s">
        <v>33</v>
      </c>
      <c r="H206" s="51">
        <v>22</v>
      </c>
      <c r="I206" s="51" t="s">
        <v>34</v>
      </c>
      <c r="J206" s="51" t="s">
        <v>64</v>
      </c>
      <c r="K206" s="51" t="s">
        <v>36</v>
      </c>
      <c r="L206" s="51" t="s">
        <v>68</v>
      </c>
      <c r="M206" s="51">
        <v>1</v>
      </c>
      <c r="N206" s="51">
        <v>1</v>
      </c>
      <c r="O206" s="52">
        <v>0</v>
      </c>
      <c r="P206" s="51">
        <v>1</v>
      </c>
      <c r="Q206" s="51">
        <v>2</v>
      </c>
      <c r="R206" s="51">
        <v>1</v>
      </c>
      <c r="S206" s="57" t="s">
        <v>192</v>
      </c>
      <c r="T206" s="51" t="s">
        <v>81</v>
      </c>
      <c r="U206" s="51">
        <v>3</v>
      </c>
      <c r="V206" s="51">
        <v>8</v>
      </c>
      <c r="W206" s="51">
        <v>1</v>
      </c>
      <c r="X206" s="51" t="s">
        <v>40</v>
      </c>
      <c r="Y206" s="57" t="s">
        <v>395</v>
      </c>
      <c r="Z206" s="58">
        <v>0</v>
      </c>
      <c r="AA206" s="57" t="s">
        <v>215</v>
      </c>
      <c r="AB206" s="59">
        <f t="shared" si="3"/>
        <v>45954</v>
      </c>
    </row>
    <row r="207" spans="1:28" ht="12.75">
      <c r="A207" s="56">
        <v>45954.877783645832</v>
      </c>
      <c r="B207" s="51" t="s">
        <v>396</v>
      </c>
      <c r="C207" s="51" t="s">
        <v>29</v>
      </c>
      <c r="D207" s="51" t="s">
        <v>30</v>
      </c>
      <c r="E207" s="51" t="s">
        <v>31</v>
      </c>
      <c r="F207" s="51" t="s">
        <v>85</v>
      </c>
      <c r="G207" s="51" t="s">
        <v>54</v>
      </c>
      <c r="H207" s="51">
        <v>22</v>
      </c>
      <c r="I207" s="51" t="s">
        <v>34</v>
      </c>
      <c r="J207" s="51" t="s">
        <v>64</v>
      </c>
      <c r="K207" s="51" t="s">
        <v>36</v>
      </c>
      <c r="L207" s="51" t="s">
        <v>74</v>
      </c>
      <c r="M207" s="51">
        <v>3</v>
      </c>
      <c r="N207" s="51">
        <v>3</v>
      </c>
      <c r="O207" s="52">
        <v>3</v>
      </c>
      <c r="P207" s="51">
        <v>0</v>
      </c>
      <c r="Q207" s="51">
        <v>2</v>
      </c>
      <c r="R207" s="51">
        <v>2</v>
      </c>
      <c r="S207" s="57" t="s">
        <v>249</v>
      </c>
      <c r="T207" s="51" t="s">
        <v>81</v>
      </c>
      <c r="U207" s="51">
        <v>4</v>
      </c>
      <c r="V207" s="51">
        <v>8</v>
      </c>
      <c r="W207" s="51">
        <v>2</v>
      </c>
      <c r="X207" s="51" t="s">
        <v>40</v>
      </c>
      <c r="Y207" s="57" t="s">
        <v>95</v>
      </c>
      <c r="Z207" s="58">
        <v>0</v>
      </c>
      <c r="AA207" s="57" t="s">
        <v>254</v>
      </c>
      <c r="AB207" s="59">
        <f t="shared" si="3"/>
        <v>45954</v>
      </c>
    </row>
    <row r="208" spans="1:28" ht="12.75">
      <c r="A208" s="56">
        <v>45954.879309178243</v>
      </c>
      <c r="B208" s="51" t="s">
        <v>397</v>
      </c>
      <c r="C208" s="51" t="s">
        <v>29</v>
      </c>
      <c r="D208" s="51" t="s">
        <v>30</v>
      </c>
      <c r="E208" s="51" t="s">
        <v>31</v>
      </c>
      <c r="F208" s="51" t="s">
        <v>85</v>
      </c>
      <c r="G208" s="51" t="s">
        <v>33</v>
      </c>
      <c r="H208" s="51">
        <v>22</v>
      </c>
      <c r="I208" s="51" t="s">
        <v>34</v>
      </c>
      <c r="J208" s="51" t="s">
        <v>79</v>
      </c>
      <c r="K208" s="51" t="s">
        <v>36</v>
      </c>
      <c r="L208" s="51" t="s">
        <v>68</v>
      </c>
      <c r="M208" s="51">
        <v>3</v>
      </c>
      <c r="N208" s="51">
        <v>2</v>
      </c>
      <c r="O208" s="52">
        <v>21</v>
      </c>
      <c r="P208" s="51">
        <v>3</v>
      </c>
      <c r="Q208" s="51">
        <v>3</v>
      </c>
      <c r="R208" s="51">
        <v>4</v>
      </c>
      <c r="S208" s="57" t="s">
        <v>38</v>
      </c>
      <c r="T208" s="51" t="s">
        <v>49</v>
      </c>
      <c r="U208" s="51">
        <v>5</v>
      </c>
      <c r="V208" s="51">
        <v>8</v>
      </c>
      <c r="W208" s="51">
        <v>3</v>
      </c>
      <c r="X208" s="51" t="s">
        <v>40</v>
      </c>
      <c r="Y208" s="57" t="s">
        <v>95</v>
      </c>
      <c r="Z208" s="58">
        <v>0</v>
      </c>
      <c r="AA208" s="57" t="s">
        <v>190</v>
      </c>
      <c r="AB208" s="59">
        <f t="shared" si="3"/>
        <v>45954</v>
      </c>
    </row>
    <row r="209" spans="1:28" ht="12.75">
      <c r="A209" s="56">
        <v>45954.881752476853</v>
      </c>
      <c r="B209" s="51" t="s">
        <v>398</v>
      </c>
      <c r="C209" s="51" t="s">
        <v>29</v>
      </c>
      <c r="D209" s="51" t="s">
        <v>30</v>
      </c>
      <c r="E209" s="51" t="s">
        <v>31</v>
      </c>
      <c r="F209" s="51" t="s">
        <v>32</v>
      </c>
      <c r="G209" s="51" t="s">
        <v>33</v>
      </c>
      <c r="H209" s="51">
        <v>22</v>
      </c>
      <c r="I209" s="51" t="s">
        <v>34</v>
      </c>
      <c r="J209" s="51" t="s">
        <v>64</v>
      </c>
      <c r="K209" s="51" t="s">
        <v>36</v>
      </c>
      <c r="L209" s="51" t="s">
        <v>37</v>
      </c>
      <c r="M209" s="51">
        <v>3</v>
      </c>
      <c r="N209" s="51">
        <v>5</v>
      </c>
      <c r="O209" s="52">
        <v>8</v>
      </c>
      <c r="P209" s="51">
        <v>2</v>
      </c>
      <c r="Q209" s="51">
        <v>5</v>
      </c>
      <c r="R209" s="51">
        <v>4</v>
      </c>
      <c r="S209" s="57" t="s">
        <v>75</v>
      </c>
      <c r="T209" s="51" t="s">
        <v>94</v>
      </c>
      <c r="U209" s="51">
        <v>6</v>
      </c>
      <c r="V209" s="51">
        <v>10</v>
      </c>
      <c r="W209" s="51">
        <v>2</v>
      </c>
      <c r="X209" s="51" t="s">
        <v>40</v>
      </c>
      <c r="Y209" s="57" t="s">
        <v>339</v>
      </c>
      <c r="Z209" s="58">
        <v>20</v>
      </c>
      <c r="AA209" s="57" t="s">
        <v>116</v>
      </c>
      <c r="AB209" s="59">
        <f t="shared" si="3"/>
        <v>45954</v>
      </c>
    </row>
    <row r="210" spans="1:28" ht="12.75">
      <c r="A210" s="56">
        <v>45954.885204421298</v>
      </c>
      <c r="B210" s="51" t="s">
        <v>399</v>
      </c>
      <c r="C210" s="51" t="s">
        <v>29</v>
      </c>
      <c r="D210" s="51" t="s">
        <v>30</v>
      </c>
      <c r="E210" s="51" t="s">
        <v>31</v>
      </c>
      <c r="F210" s="51" t="s">
        <v>32</v>
      </c>
      <c r="G210" s="51" t="s">
        <v>33</v>
      </c>
      <c r="H210" s="51">
        <v>22</v>
      </c>
      <c r="I210" s="51" t="s">
        <v>34</v>
      </c>
      <c r="J210" s="51" t="s">
        <v>64</v>
      </c>
      <c r="K210" s="51" t="s">
        <v>36</v>
      </c>
      <c r="L210" s="51" t="s">
        <v>74</v>
      </c>
      <c r="M210" s="51">
        <v>5</v>
      </c>
      <c r="N210" s="51">
        <v>5</v>
      </c>
      <c r="O210" s="52">
        <v>3</v>
      </c>
      <c r="P210" s="51">
        <v>4</v>
      </c>
      <c r="Q210" s="51">
        <v>1</v>
      </c>
      <c r="R210" s="51">
        <v>1</v>
      </c>
      <c r="S210" s="57" t="s">
        <v>38</v>
      </c>
      <c r="T210" s="51" t="s">
        <v>81</v>
      </c>
      <c r="U210" s="51">
        <v>6</v>
      </c>
      <c r="V210" s="51">
        <v>3</v>
      </c>
      <c r="W210" s="51">
        <v>1</v>
      </c>
      <c r="X210" s="51" t="s">
        <v>40</v>
      </c>
      <c r="Y210" s="57" t="s">
        <v>41</v>
      </c>
      <c r="Z210" s="58">
        <v>0</v>
      </c>
      <c r="AA210" s="57" t="s">
        <v>190</v>
      </c>
      <c r="AB210" s="59">
        <f t="shared" si="3"/>
        <v>45954</v>
      </c>
    </row>
    <row r="211" spans="1:28" ht="12.75">
      <c r="A211" s="56">
        <v>45954.900282546296</v>
      </c>
      <c r="B211" s="51" t="s">
        <v>400</v>
      </c>
      <c r="C211" s="51" t="s">
        <v>29</v>
      </c>
      <c r="D211" s="51" t="s">
        <v>30</v>
      </c>
      <c r="E211" s="51" t="s">
        <v>31</v>
      </c>
      <c r="F211" s="51" t="s">
        <v>32</v>
      </c>
      <c r="G211" s="51" t="s">
        <v>33</v>
      </c>
      <c r="H211" s="51">
        <v>22</v>
      </c>
      <c r="I211" s="51" t="s">
        <v>34</v>
      </c>
      <c r="J211" s="51" t="s">
        <v>64</v>
      </c>
      <c r="K211" s="51" t="s">
        <v>36</v>
      </c>
      <c r="L211" s="51" t="s">
        <v>113</v>
      </c>
      <c r="M211" s="51">
        <v>1</v>
      </c>
      <c r="N211" s="51">
        <v>3</v>
      </c>
      <c r="O211" s="52">
        <v>4</v>
      </c>
      <c r="P211" s="51">
        <v>1</v>
      </c>
      <c r="Q211" s="51">
        <v>3</v>
      </c>
      <c r="R211" s="51">
        <v>4</v>
      </c>
      <c r="S211" s="57" t="s">
        <v>295</v>
      </c>
      <c r="T211" s="51" t="s">
        <v>49</v>
      </c>
      <c r="U211" s="51">
        <v>2</v>
      </c>
      <c r="V211" s="51">
        <v>8</v>
      </c>
      <c r="W211" s="51">
        <v>1</v>
      </c>
      <c r="X211" s="51" t="s">
        <v>40</v>
      </c>
      <c r="Y211" s="57" t="s">
        <v>339</v>
      </c>
      <c r="Z211" s="58">
        <v>10</v>
      </c>
      <c r="AA211" s="57" t="s">
        <v>190</v>
      </c>
      <c r="AB211" s="59">
        <f t="shared" si="3"/>
        <v>45954</v>
      </c>
    </row>
    <row r="212" spans="1:28" ht="12.75">
      <c r="A212" s="56">
        <v>45954.911435300921</v>
      </c>
      <c r="B212" s="51" t="s">
        <v>401</v>
      </c>
      <c r="C212" s="51" t="s">
        <v>29</v>
      </c>
      <c r="D212" s="51" t="s">
        <v>30</v>
      </c>
      <c r="E212" s="51" t="s">
        <v>31</v>
      </c>
      <c r="F212" s="51" t="s">
        <v>32</v>
      </c>
      <c r="G212" s="51" t="s">
        <v>33</v>
      </c>
      <c r="H212" s="51">
        <v>22</v>
      </c>
      <c r="I212" s="51" t="s">
        <v>34</v>
      </c>
      <c r="J212" s="51" t="s">
        <v>64</v>
      </c>
      <c r="K212" s="51" t="s">
        <v>36</v>
      </c>
      <c r="L212" s="51" t="s">
        <v>68</v>
      </c>
      <c r="M212" s="51">
        <v>1</v>
      </c>
      <c r="N212" s="51">
        <v>2</v>
      </c>
      <c r="O212" s="52">
        <v>1</v>
      </c>
      <c r="P212" s="51">
        <v>1</v>
      </c>
      <c r="Q212" s="51">
        <v>4</v>
      </c>
      <c r="R212" s="51">
        <v>1</v>
      </c>
      <c r="S212" s="57" t="s">
        <v>249</v>
      </c>
      <c r="T212" s="51" t="s">
        <v>39</v>
      </c>
      <c r="U212" s="51">
        <v>3</v>
      </c>
      <c r="V212" s="51">
        <v>7</v>
      </c>
      <c r="W212" s="51">
        <v>2</v>
      </c>
      <c r="X212" s="51" t="s">
        <v>40</v>
      </c>
      <c r="Y212" s="57" t="s">
        <v>133</v>
      </c>
      <c r="Z212" s="58">
        <v>10</v>
      </c>
      <c r="AA212" s="57" t="s">
        <v>190</v>
      </c>
      <c r="AB212" s="59">
        <f t="shared" si="3"/>
        <v>45954</v>
      </c>
    </row>
    <row r="213" spans="1:28" ht="12.75">
      <c r="A213" s="56">
        <v>45954.915230208338</v>
      </c>
      <c r="B213" s="51" t="s">
        <v>402</v>
      </c>
      <c r="C213" s="51" t="s">
        <v>29</v>
      </c>
      <c r="D213" s="51" t="s">
        <v>30</v>
      </c>
      <c r="E213" s="51" t="s">
        <v>31</v>
      </c>
      <c r="F213" s="51" t="s">
        <v>32</v>
      </c>
      <c r="G213" s="51" t="s">
        <v>54</v>
      </c>
      <c r="H213" s="51">
        <v>22</v>
      </c>
      <c r="I213" s="51" t="s">
        <v>34</v>
      </c>
      <c r="J213" s="51" t="s">
        <v>64</v>
      </c>
      <c r="K213" s="51" t="s">
        <v>36</v>
      </c>
      <c r="L213" s="51" t="s">
        <v>37</v>
      </c>
      <c r="M213" s="51">
        <v>1</v>
      </c>
      <c r="N213" s="51">
        <v>2</v>
      </c>
      <c r="O213" s="52">
        <v>20</v>
      </c>
      <c r="P213" s="51">
        <v>2</v>
      </c>
      <c r="Q213" s="51">
        <v>5</v>
      </c>
      <c r="R213" s="51">
        <v>5</v>
      </c>
      <c r="S213" s="57" t="s">
        <v>146</v>
      </c>
      <c r="T213" s="51" t="s">
        <v>94</v>
      </c>
      <c r="U213" s="51">
        <v>4</v>
      </c>
      <c r="V213" s="51">
        <v>10</v>
      </c>
      <c r="W213" s="51">
        <v>3</v>
      </c>
      <c r="X213" s="51" t="s">
        <v>40</v>
      </c>
      <c r="Y213" s="57" t="s">
        <v>56</v>
      </c>
      <c r="Z213" s="58">
        <v>20</v>
      </c>
      <c r="AA213" s="57" t="s">
        <v>277</v>
      </c>
      <c r="AB213" s="59">
        <f t="shared" si="3"/>
        <v>45954</v>
      </c>
    </row>
    <row r="214" spans="1:28" ht="12.75">
      <c r="A214" s="56">
        <v>45954.916210682873</v>
      </c>
      <c r="B214" s="51" t="s">
        <v>403</v>
      </c>
      <c r="C214" s="51" t="s">
        <v>29</v>
      </c>
      <c r="D214" s="51" t="s">
        <v>30</v>
      </c>
      <c r="E214" s="51" t="s">
        <v>31</v>
      </c>
      <c r="F214" s="51" t="s">
        <v>32</v>
      </c>
      <c r="G214" s="51" t="s">
        <v>54</v>
      </c>
      <c r="H214" s="51">
        <v>22</v>
      </c>
      <c r="I214" s="51" t="s">
        <v>34</v>
      </c>
      <c r="J214" s="51" t="s">
        <v>64</v>
      </c>
      <c r="K214" s="51" t="s">
        <v>36</v>
      </c>
      <c r="L214" s="51" t="s">
        <v>74</v>
      </c>
      <c r="M214" s="51">
        <v>1</v>
      </c>
      <c r="N214" s="51">
        <v>1</v>
      </c>
      <c r="O214" s="52">
        <v>2</v>
      </c>
      <c r="P214" s="51">
        <v>0</v>
      </c>
      <c r="Q214" s="51">
        <v>4</v>
      </c>
      <c r="R214" s="51">
        <v>4</v>
      </c>
      <c r="S214" s="57" t="s">
        <v>192</v>
      </c>
      <c r="T214" s="51" t="s">
        <v>49</v>
      </c>
      <c r="U214" s="51">
        <v>2</v>
      </c>
      <c r="V214" s="51">
        <v>10</v>
      </c>
      <c r="W214" s="51">
        <v>1</v>
      </c>
      <c r="X214" s="51" t="s">
        <v>40</v>
      </c>
      <c r="Y214" s="57" t="s">
        <v>76</v>
      </c>
      <c r="Z214" s="58">
        <v>5</v>
      </c>
      <c r="AA214" s="57" t="s">
        <v>111</v>
      </c>
      <c r="AB214" s="59">
        <f t="shared" si="3"/>
        <v>45954</v>
      </c>
    </row>
    <row r="215" spans="1:28" ht="12.75">
      <c r="A215" s="56">
        <v>45954.921391006945</v>
      </c>
      <c r="B215" s="51" t="s">
        <v>404</v>
      </c>
      <c r="C215" s="51" t="s">
        <v>29</v>
      </c>
      <c r="D215" s="51" t="s">
        <v>30</v>
      </c>
      <c r="E215" s="51" t="s">
        <v>31</v>
      </c>
      <c r="F215" s="51" t="s">
        <v>32</v>
      </c>
      <c r="G215" s="51" t="s">
        <v>54</v>
      </c>
      <c r="H215" s="51">
        <v>22</v>
      </c>
      <c r="I215" s="51" t="s">
        <v>34</v>
      </c>
      <c r="J215" s="51" t="s">
        <v>35</v>
      </c>
      <c r="K215" s="51" t="s">
        <v>36</v>
      </c>
      <c r="L215" s="51" t="s">
        <v>68</v>
      </c>
      <c r="M215" s="51">
        <v>1</v>
      </c>
      <c r="N215" s="51">
        <v>3</v>
      </c>
      <c r="O215" s="52">
        <v>2.5</v>
      </c>
      <c r="P215" s="51">
        <v>2</v>
      </c>
      <c r="Q215" s="51">
        <v>5</v>
      </c>
      <c r="R215" s="51">
        <v>5</v>
      </c>
      <c r="S215" s="57" t="s">
        <v>38</v>
      </c>
      <c r="T215" s="51" t="s">
        <v>49</v>
      </c>
      <c r="U215" s="51">
        <v>2</v>
      </c>
      <c r="V215" s="51">
        <v>10</v>
      </c>
      <c r="W215" s="51">
        <v>3</v>
      </c>
      <c r="X215" s="51" t="s">
        <v>50</v>
      </c>
      <c r="Y215" s="57" t="s">
        <v>348</v>
      </c>
      <c r="Z215" s="58">
        <v>20</v>
      </c>
      <c r="AA215" s="57" t="s">
        <v>381</v>
      </c>
      <c r="AB215" s="59">
        <f t="shared" si="3"/>
        <v>45954</v>
      </c>
    </row>
    <row r="216" spans="1:28" ht="12.75">
      <c r="A216" s="56">
        <v>45954.933020671291</v>
      </c>
      <c r="B216" s="51" t="s">
        <v>405</v>
      </c>
      <c r="C216" s="51" t="s">
        <v>29</v>
      </c>
      <c r="D216" s="51" t="s">
        <v>30</v>
      </c>
      <c r="E216" s="51" t="s">
        <v>31</v>
      </c>
      <c r="F216" s="51" t="s">
        <v>32</v>
      </c>
      <c r="G216" s="51" t="s">
        <v>54</v>
      </c>
      <c r="H216" s="51">
        <v>22</v>
      </c>
      <c r="I216" s="51" t="s">
        <v>45</v>
      </c>
      <c r="J216" s="51" t="s">
        <v>46</v>
      </c>
      <c r="K216" s="51" t="s">
        <v>36</v>
      </c>
      <c r="L216" s="51" t="s">
        <v>37</v>
      </c>
      <c r="M216" s="51">
        <v>4</v>
      </c>
      <c r="N216" s="51">
        <v>4</v>
      </c>
      <c r="O216" s="52">
        <v>4.5</v>
      </c>
      <c r="P216" s="51">
        <v>1</v>
      </c>
      <c r="Q216" s="51">
        <v>5</v>
      </c>
      <c r="R216" s="51">
        <v>1</v>
      </c>
      <c r="S216" s="57" t="s">
        <v>48</v>
      </c>
      <c r="T216" s="51" t="s">
        <v>39</v>
      </c>
      <c r="U216" s="51">
        <v>1</v>
      </c>
      <c r="V216" s="51">
        <v>9</v>
      </c>
      <c r="W216" s="51">
        <v>1</v>
      </c>
      <c r="X216" s="51" t="s">
        <v>40</v>
      </c>
      <c r="Y216" s="57" t="s">
        <v>82</v>
      </c>
      <c r="Z216" s="58">
        <v>10</v>
      </c>
      <c r="AA216" s="57" t="s">
        <v>71</v>
      </c>
      <c r="AB216" s="59">
        <f t="shared" si="3"/>
        <v>45954</v>
      </c>
    </row>
    <row r="217" spans="1:28" ht="12.75">
      <c r="A217" s="56">
        <v>45954.945954826384</v>
      </c>
      <c r="B217" s="51" t="s">
        <v>406</v>
      </c>
      <c r="C217" s="51" t="s">
        <v>29</v>
      </c>
      <c r="D217" s="51" t="s">
        <v>30</v>
      </c>
      <c r="E217" s="51" t="s">
        <v>31</v>
      </c>
      <c r="F217" s="51" t="s">
        <v>32</v>
      </c>
      <c r="G217" s="51" t="s">
        <v>33</v>
      </c>
      <c r="H217" s="51">
        <v>22</v>
      </c>
      <c r="I217" s="51" t="s">
        <v>34</v>
      </c>
      <c r="J217" s="51" t="s">
        <v>64</v>
      </c>
      <c r="K217" s="51" t="s">
        <v>36</v>
      </c>
      <c r="L217" s="51" t="s">
        <v>37</v>
      </c>
      <c r="M217" s="51">
        <v>3</v>
      </c>
      <c r="N217" s="51">
        <v>5</v>
      </c>
      <c r="O217" s="52">
        <v>9</v>
      </c>
      <c r="P217" s="51">
        <v>1</v>
      </c>
      <c r="Q217" s="51">
        <v>5</v>
      </c>
      <c r="R217" s="51">
        <v>4</v>
      </c>
      <c r="S217" s="57" t="s">
        <v>55</v>
      </c>
      <c r="T217" s="51" t="s">
        <v>39</v>
      </c>
      <c r="U217" s="51">
        <v>8</v>
      </c>
      <c r="V217" s="51">
        <v>9</v>
      </c>
      <c r="W217" s="51">
        <v>5</v>
      </c>
      <c r="X217" s="51" t="s">
        <v>40</v>
      </c>
      <c r="Y217" s="57" t="s">
        <v>56</v>
      </c>
      <c r="Z217" s="58">
        <v>50</v>
      </c>
      <c r="AA217" s="57" t="s">
        <v>407</v>
      </c>
      <c r="AB217" s="59">
        <f t="shared" si="3"/>
        <v>45954</v>
      </c>
    </row>
    <row r="218" spans="1:28" ht="12.75">
      <c r="A218" s="56">
        <v>45954.950764988425</v>
      </c>
      <c r="B218" s="51" t="s">
        <v>408</v>
      </c>
      <c r="C218" s="51" t="s">
        <v>29</v>
      </c>
      <c r="D218" s="51" t="s">
        <v>30</v>
      </c>
      <c r="E218" s="51" t="s">
        <v>31</v>
      </c>
      <c r="F218" s="51" t="s">
        <v>53</v>
      </c>
      <c r="G218" s="51" t="s">
        <v>54</v>
      </c>
      <c r="H218" s="51">
        <v>22</v>
      </c>
      <c r="I218" s="51" t="s">
        <v>34</v>
      </c>
      <c r="J218" s="51" t="s">
        <v>64</v>
      </c>
      <c r="K218" s="51" t="s">
        <v>36</v>
      </c>
      <c r="L218" s="51" t="s">
        <v>37</v>
      </c>
      <c r="M218" s="51">
        <v>2</v>
      </c>
      <c r="N218" s="51">
        <v>2</v>
      </c>
      <c r="O218" s="52">
        <v>10</v>
      </c>
      <c r="P218" s="51">
        <v>1</v>
      </c>
      <c r="Q218" s="51">
        <v>4</v>
      </c>
      <c r="R218" s="51">
        <v>4</v>
      </c>
      <c r="S218" s="57" t="s">
        <v>132</v>
      </c>
      <c r="T218" s="51" t="s">
        <v>49</v>
      </c>
      <c r="U218" s="51">
        <v>2</v>
      </c>
      <c r="V218" s="51">
        <v>8</v>
      </c>
      <c r="W218" s="51">
        <v>1</v>
      </c>
      <c r="X218" s="51" t="s">
        <v>50</v>
      </c>
      <c r="Y218" s="57" t="s">
        <v>95</v>
      </c>
      <c r="Z218" s="58">
        <v>25</v>
      </c>
      <c r="AA218" s="57" t="s">
        <v>409</v>
      </c>
      <c r="AB218" s="59">
        <f t="shared" si="3"/>
        <v>45954</v>
      </c>
    </row>
    <row r="219" spans="1:28" ht="12.75">
      <c r="A219" s="56">
        <v>45954.952089606479</v>
      </c>
      <c r="B219" s="51" t="s">
        <v>410</v>
      </c>
      <c r="C219" s="51" t="s">
        <v>29</v>
      </c>
      <c r="D219" s="51" t="s">
        <v>30</v>
      </c>
      <c r="E219" s="51" t="s">
        <v>31</v>
      </c>
      <c r="F219" s="51" t="s">
        <v>32</v>
      </c>
      <c r="G219" s="51" t="s">
        <v>33</v>
      </c>
      <c r="H219" s="51">
        <v>22</v>
      </c>
      <c r="I219" s="51" t="s">
        <v>45</v>
      </c>
      <c r="J219" s="51" t="s">
        <v>46</v>
      </c>
      <c r="K219" s="51" t="s">
        <v>36</v>
      </c>
      <c r="L219" s="51" t="s">
        <v>74</v>
      </c>
      <c r="M219" s="51">
        <v>1</v>
      </c>
      <c r="N219" s="51">
        <v>1</v>
      </c>
      <c r="O219" s="52">
        <v>0.5</v>
      </c>
      <c r="P219" s="51">
        <v>0</v>
      </c>
      <c r="Q219" s="51">
        <v>2</v>
      </c>
      <c r="R219" s="51">
        <v>1</v>
      </c>
      <c r="S219" s="57" t="s">
        <v>38</v>
      </c>
      <c r="T219" s="51" t="s">
        <v>49</v>
      </c>
      <c r="U219" s="51">
        <v>0</v>
      </c>
      <c r="V219" s="51">
        <v>7</v>
      </c>
      <c r="W219" s="51">
        <v>1</v>
      </c>
      <c r="X219" s="51" t="s">
        <v>40</v>
      </c>
      <c r="Y219" s="57" t="s">
        <v>41</v>
      </c>
      <c r="Z219" s="58">
        <v>0</v>
      </c>
      <c r="AA219" s="57" t="s">
        <v>190</v>
      </c>
      <c r="AB219" s="59">
        <f t="shared" si="3"/>
        <v>45954</v>
      </c>
    </row>
    <row r="220" spans="1:28" ht="12.75">
      <c r="A220" s="56">
        <v>45951.001147106479</v>
      </c>
      <c r="B220" s="51" t="s">
        <v>411</v>
      </c>
      <c r="C220" s="51" t="s">
        <v>29</v>
      </c>
      <c r="D220" s="51" t="s">
        <v>30</v>
      </c>
      <c r="E220" s="51" t="s">
        <v>31</v>
      </c>
      <c r="F220" s="51" t="s">
        <v>53</v>
      </c>
      <c r="G220" s="51" t="s">
        <v>54</v>
      </c>
      <c r="H220" s="51">
        <v>23</v>
      </c>
      <c r="I220" s="51" t="s">
        <v>34</v>
      </c>
      <c r="J220" s="51" t="s">
        <v>64</v>
      </c>
      <c r="K220" s="51" t="s">
        <v>36</v>
      </c>
      <c r="L220" s="51" t="s">
        <v>74</v>
      </c>
      <c r="M220" s="51">
        <v>1</v>
      </c>
      <c r="N220" s="51">
        <v>2</v>
      </c>
      <c r="O220" s="52">
        <v>6.25</v>
      </c>
      <c r="P220" s="51">
        <v>0</v>
      </c>
      <c r="Q220" s="51">
        <v>4</v>
      </c>
      <c r="R220" s="51">
        <v>4</v>
      </c>
      <c r="S220" s="57" t="s">
        <v>192</v>
      </c>
      <c r="T220" s="51" t="s">
        <v>49</v>
      </c>
      <c r="U220" s="51">
        <v>1</v>
      </c>
      <c r="V220" s="51">
        <v>10</v>
      </c>
      <c r="W220" s="51">
        <v>2</v>
      </c>
      <c r="X220" s="51" t="s">
        <v>50</v>
      </c>
      <c r="Y220" s="57" t="s">
        <v>65</v>
      </c>
      <c r="Z220" s="58">
        <v>1000.24</v>
      </c>
      <c r="AA220" s="57" t="s">
        <v>215</v>
      </c>
      <c r="AB220" s="59">
        <f t="shared" si="3"/>
        <v>45951</v>
      </c>
    </row>
    <row r="221" spans="1:28" ht="12.75">
      <c r="A221" s="56">
        <v>45951.973406828707</v>
      </c>
      <c r="B221" s="51" t="s">
        <v>412</v>
      </c>
      <c r="C221" s="51" t="s">
        <v>29</v>
      </c>
      <c r="D221" s="51" t="s">
        <v>30</v>
      </c>
      <c r="E221" s="51" t="s">
        <v>31</v>
      </c>
      <c r="F221" s="51" t="s">
        <v>32</v>
      </c>
      <c r="G221" s="51" t="s">
        <v>54</v>
      </c>
      <c r="H221" s="51">
        <v>23</v>
      </c>
      <c r="I221" s="51" t="s">
        <v>34</v>
      </c>
      <c r="J221" s="51" t="s">
        <v>35</v>
      </c>
      <c r="K221" s="51" t="s">
        <v>36</v>
      </c>
      <c r="L221" s="51" t="s">
        <v>37</v>
      </c>
      <c r="M221" s="51">
        <v>2</v>
      </c>
      <c r="N221" s="51">
        <v>3</v>
      </c>
      <c r="O221" s="52">
        <v>0</v>
      </c>
      <c r="P221" s="51">
        <v>0</v>
      </c>
      <c r="Q221" s="51">
        <v>3</v>
      </c>
      <c r="R221" s="51">
        <v>4</v>
      </c>
      <c r="S221" s="57" t="s">
        <v>413</v>
      </c>
      <c r="T221" s="51" t="s">
        <v>49</v>
      </c>
      <c r="U221" s="51">
        <v>6</v>
      </c>
      <c r="V221" s="51">
        <v>10</v>
      </c>
      <c r="W221" s="51">
        <v>1</v>
      </c>
      <c r="X221" s="51" t="s">
        <v>50</v>
      </c>
      <c r="Y221" s="57" t="s">
        <v>414</v>
      </c>
      <c r="Z221" s="58">
        <v>30</v>
      </c>
      <c r="AA221" s="57" t="s">
        <v>142</v>
      </c>
      <c r="AB221" s="59">
        <f t="shared" si="3"/>
        <v>45951</v>
      </c>
    </row>
    <row r="222" spans="1:28" ht="12.75">
      <c r="A222" s="56">
        <v>45951.989013599537</v>
      </c>
      <c r="B222" s="51" t="s">
        <v>415</v>
      </c>
      <c r="C222" s="51" t="s">
        <v>29</v>
      </c>
      <c r="D222" s="51" t="s">
        <v>30</v>
      </c>
      <c r="E222" s="51" t="s">
        <v>31</v>
      </c>
      <c r="F222" s="51" t="s">
        <v>32</v>
      </c>
      <c r="G222" s="51" t="s">
        <v>33</v>
      </c>
      <c r="H222" s="51">
        <v>23</v>
      </c>
      <c r="I222" s="51" t="s">
        <v>45</v>
      </c>
      <c r="J222" s="51" t="s">
        <v>79</v>
      </c>
      <c r="K222" s="51" t="s">
        <v>36</v>
      </c>
      <c r="L222" s="51" t="s">
        <v>74</v>
      </c>
      <c r="M222" s="51">
        <v>1</v>
      </c>
      <c r="N222" s="51">
        <v>1</v>
      </c>
      <c r="O222" s="52">
        <v>0</v>
      </c>
      <c r="P222" s="51">
        <v>0</v>
      </c>
      <c r="Q222" s="51">
        <v>1</v>
      </c>
      <c r="R222" s="51">
        <v>1</v>
      </c>
      <c r="S222" s="57" t="s">
        <v>416</v>
      </c>
      <c r="T222" s="51" t="s">
        <v>81</v>
      </c>
      <c r="U222" s="51">
        <v>4</v>
      </c>
      <c r="V222" s="51">
        <v>1</v>
      </c>
      <c r="W222" s="51">
        <v>1</v>
      </c>
      <c r="X222" s="51" t="s">
        <v>60</v>
      </c>
      <c r="Y222" s="57" t="s">
        <v>186</v>
      </c>
      <c r="Z222" s="58">
        <v>0</v>
      </c>
      <c r="AA222" s="57" t="s">
        <v>417</v>
      </c>
      <c r="AB222" s="59">
        <f t="shared" si="3"/>
        <v>45951</v>
      </c>
    </row>
    <row r="223" spans="1:28" ht="12.75">
      <c r="A223" s="56">
        <v>45952.179235601856</v>
      </c>
      <c r="B223" s="51" t="s">
        <v>418</v>
      </c>
      <c r="C223" s="51" t="s">
        <v>29</v>
      </c>
      <c r="D223" s="51" t="s">
        <v>30</v>
      </c>
      <c r="E223" s="51" t="s">
        <v>31</v>
      </c>
      <c r="F223" s="51" t="s">
        <v>44</v>
      </c>
      <c r="G223" s="51" t="s">
        <v>33</v>
      </c>
      <c r="H223" s="51">
        <v>23</v>
      </c>
      <c r="I223" s="51" t="s">
        <v>34</v>
      </c>
      <c r="J223" s="51" t="s">
        <v>64</v>
      </c>
      <c r="K223" s="51" t="s">
        <v>36</v>
      </c>
      <c r="L223" s="51" t="s">
        <v>68</v>
      </c>
      <c r="M223" s="51">
        <v>3</v>
      </c>
      <c r="N223" s="51">
        <v>2</v>
      </c>
      <c r="O223" s="52">
        <v>4</v>
      </c>
      <c r="P223" s="51">
        <v>1</v>
      </c>
      <c r="Q223" s="51">
        <v>5</v>
      </c>
      <c r="R223" s="51">
        <v>4</v>
      </c>
      <c r="S223" s="57" t="s">
        <v>48</v>
      </c>
      <c r="T223" s="51" t="s">
        <v>39</v>
      </c>
      <c r="U223" s="51">
        <v>5</v>
      </c>
      <c r="V223" s="51">
        <v>10</v>
      </c>
      <c r="W223" s="51">
        <v>1</v>
      </c>
      <c r="X223" s="51" t="s">
        <v>69</v>
      </c>
      <c r="Y223" s="57" t="s">
        <v>166</v>
      </c>
      <c r="Z223" s="58">
        <v>50</v>
      </c>
      <c r="AA223" s="57" t="s">
        <v>197</v>
      </c>
      <c r="AB223" s="59">
        <f t="shared" si="3"/>
        <v>45952</v>
      </c>
    </row>
    <row r="224" spans="1:28" ht="12.75">
      <c r="A224" s="56">
        <v>45952.384996493056</v>
      </c>
      <c r="B224" s="51" t="s">
        <v>419</v>
      </c>
      <c r="C224" s="51" t="s">
        <v>29</v>
      </c>
      <c r="D224" s="51" t="s">
        <v>30</v>
      </c>
      <c r="E224" s="51" t="s">
        <v>31</v>
      </c>
      <c r="F224" s="51" t="s">
        <v>44</v>
      </c>
      <c r="G224" s="51" t="s">
        <v>54</v>
      </c>
      <c r="H224" s="51">
        <v>23</v>
      </c>
      <c r="I224" s="51" t="s">
        <v>34</v>
      </c>
      <c r="J224" s="51" t="s">
        <v>64</v>
      </c>
      <c r="K224" s="51" t="s">
        <v>36</v>
      </c>
      <c r="L224" s="51" t="s">
        <v>37</v>
      </c>
      <c r="M224" s="51">
        <v>3</v>
      </c>
      <c r="N224" s="51">
        <v>3</v>
      </c>
      <c r="O224" s="52">
        <v>20</v>
      </c>
      <c r="P224" s="51">
        <v>3</v>
      </c>
      <c r="Q224" s="51">
        <v>5</v>
      </c>
      <c r="R224" s="51">
        <v>5</v>
      </c>
      <c r="S224" s="57" t="s">
        <v>125</v>
      </c>
      <c r="T224" s="51" t="s">
        <v>102</v>
      </c>
      <c r="U224" s="51">
        <v>20</v>
      </c>
      <c r="V224" s="51">
        <v>10</v>
      </c>
      <c r="W224" s="51">
        <v>1</v>
      </c>
      <c r="X224" s="51" t="s">
        <v>69</v>
      </c>
      <c r="Y224" s="57" t="s">
        <v>106</v>
      </c>
      <c r="Z224" s="58">
        <v>50</v>
      </c>
      <c r="AA224" s="57" t="s">
        <v>157</v>
      </c>
      <c r="AB224" s="59">
        <f t="shared" si="3"/>
        <v>45952</v>
      </c>
    </row>
    <row r="225" spans="1:28" ht="12.75">
      <c r="A225" s="56">
        <v>45952.883959861108</v>
      </c>
      <c r="B225" s="51" t="s">
        <v>420</v>
      </c>
      <c r="C225" s="51" t="s">
        <v>29</v>
      </c>
      <c r="D225" s="51" t="s">
        <v>30</v>
      </c>
      <c r="E225" s="51" t="s">
        <v>31</v>
      </c>
      <c r="F225" s="51" t="s">
        <v>53</v>
      </c>
      <c r="G225" s="51" t="s">
        <v>33</v>
      </c>
      <c r="H225" s="51">
        <v>23</v>
      </c>
      <c r="I225" s="51" t="s">
        <v>34</v>
      </c>
      <c r="J225" s="51" t="s">
        <v>35</v>
      </c>
      <c r="K225" s="51" t="s">
        <v>36</v>
      </c>
      <c r="L225" s="51" t="s">
        <v>74</v>
      </c>
      <c r="M225" s="51">
        <v>2</v>
      </c>
      <c r="N225" s="51">
        <v>1</v>
      </c>
      <c r="O225" s="52">
        <v>6.7</v>
      </c>
      <c r="P225" s="51">
        <v>1</v>
      </c>
      <c r="Q225" s="51">
        <v>5</v>
      </c>
      <c r="R225" s="51">
        <v>3</v>
      </c>
      <c r="S225" s="57" t="s">
        <v>207</v>
      </c>
      <c r="T225" s="51" t="s">
        <v>39</v>
      </c>
      <c r="U225" s="51">
        <v>3</v>
      </c>
      <c r="V225" s="51">
        <v>10</v>
      </c>
      <c r="W225" s="51">
        <v>2</v>
      </c>
      <c r="X225" s="51" t="s">
        <v>50</v>
      </c>
      <c r="Y225" s="57" t="s">
        <v>70</v>
      </c>
      <c r="Z225" s="58">
        <v>300.60000000000002</v>
      </c>
      <c r="AA225" s="57" t="s">
        <v>122</v>
      </c>
      <c r="AB225" s="59">
        <f t="shared" si="3"/>
        <v>45952</v>
      </c>
    </row>
    <row r="226" spans="1:28" ht="12.75">
      <c r="A226" s="56">
        <v>45952.937223402776</v>
      </c>
      <c r="B226" s="51" t="s">
        <v>421</v>
      </c>
      <c r="C226" s="51" t="s">
        <v>29</v>
      </c>
      <c r="D226" s="51" t="s">
        <v>30</v>
      </c>
      <c r="E226" s="51" t="s">
        <v>31</v>
      </c>
      <c r="F226" s="51" t="s">
        <v>53</v>
      </c>
      <c r="G226" s="51" t="s">
        <v>54</v>
      </c>
      <c r="H226" s="51">
        <v>23</v>
      </c>
      <c r="I226" s="51" t="s">
        <v>34</v>
      </c>
      <c r="J226" s="51" t="s">
        <v>89</v>
      </c>
      <c r="K226" s="51" t="s">
        <v>36</v>
      </c>
      <c r="L226" s="51" t="s">
        <v>37</v>
      </c>
      <c r="M226" s="51">
        <v>2</v>
      </c>
      <c r="N226" s="51">
        <v>2</v>
      </c>
      <c r="O226" s="52">
        <v>8.5</v>
      </c>
      <c r="P226" s="51">
        <v>3</v>
      </c>
      <c r="Q226" s="51">
        <v>5</v>
      </c>
      <c r="R226" s="51">
        <v>3</v>
      </c>
      <c r="S226" s="57" t="s">
        <v>207</v>
      </c>
      <c r="T226" s="51" t="s">
        <v>39</v>
      </c>
      <c r="U226" s="51">
        <v>3</v>
      </c>
      <c r="V226" s="51">
        <v>10</v>
      </c>
      <c r="W226" s="51">
        <v>3</v>
      </c>
      <c r="X226" s="51" t="s">
        <v>40</v>
      </c>
      <c r="Y226" s="57" t="s">
        <v>217</v>
      </c>
      <c r="Z226" s="58">
        <v>20.99</v>
      </c>
      <c r="AA226" s="57" t="s">
        <v>66</v>
      </c>
      <c r="AB226" s="59">
        <f t="shared" si="3"/>
        <v>45952</v>
      </c>
    </row>
    <row r="227" spans="1:28" ht="12.75">
      <c r="A227" s="56">
        <v>45953.022253206014</v>
      </c>
      <c r="B227" s="51" t="s">
        <v>422</v>
      </c>
      <c r="C227" s="51" t="s">
        <v>29</v>
      </c>
      <c r="D227" s="51" t="s">
        <v>30</v>
      </c>
      <c r="E227" s="51" t="s">
        <v>31</v>
      </c>
      <c r="F227" s="51" t="s">
        <v>32</v>
      </c>
      <c r="G227" s="51" t="s">
        <v>54</v>
      </c>
      <c r="H227" s="51">
        <v>23</v>
      </c>
      <c r="I227" s="51" t="s">
        <v>34</v>
      </c>
      <c r="J227" s="51" t="s">
        <v>46</v>
      </c>
      <c r="K227" s="51" t="s">
        <v>36</v>
      </c>
      <c r="L227" s="51" t="s">
        <v>37</v>
      </c>
      <c r="M227" s="51">
        <v>1</v>
      </c>
      <c r="N227" s="51">
        <v>5</v>
      </c>
      <c r="O227" s="52">
        <v>14</v>
      </c>
      <c r="P227" s="51">
        <v>1</v>
      </c>
      <c r="Q227" s="51">
        <v>5</v>
      </c>
      <c r="R227" s="51">
        <v>5</v>
      </c>
      <c r="S227" s="57" t="s">
        <v>130</v>
      </c>
      <c r="T227" s="51" t="s">
        <v>102</v>
      </c>
      <c r="U227" s="51">
        <v>9</v>
      </c>
      <c r="V227" s="51">
        <v>10</v>
      </c>
      <c r="W227" s="51">
        <v>2</v>
      </c>
      <c r="X227" s="51" t="s">
        <v>69</v>
      </c>
      <c r="Y227" s="57" t="s">
        <v>95</v>
      </c>
      <c r="Z227" s="58">
        <v>75</v>
      </c>
      <c r="AA227" s="57" t="s">
        <v>291</v>
      </c>
      <c r="AB227" s="59">
        <f t="shared" si="3"/>
        <v>45953</v>
      </c>
    </row>
    <row r="228" spans="1:28" ht="12.75">
      <c r="A228" s="56">
        <v>45953.381657986116</v>
      </c>
      <c r="B228" s="51" t="s">
        <v>423</v>
      </c>
      <c r="C228" s="51" t="s">
        <v>29</v>
      </c>
      <c r="D228" s="51" t="s">
        <v>30</v>
      </c>
      <c r="E228" s="51" t="s">
        <v>31</v>
      </c>
      <c r="F228" s="51" t="s">
        <v>53</v>
      </c>
      <c r="G228" s="51" t="s">
        <v>54</v>
      </c>
      <c r="H228" s="51">
        <v>23</v>
      </c>
      <c r="I228" s="51" t="s">
        <v>34</v>
      </c>
      <c r="J228" s="51" t="s">
        <v>108</v>
      </c>
      <c r="K228" s="51" t="s">
        <v>36</v>
      </c>
      <c r="L228" s="51" t="s">
        <v>68</v>
      </c>
      <c r="M228" s="51">
        <v>5</v>
      </c>
      <c r="N228" s="51">
        <v>3</v>
      </c>
      <c r="O228" s="52">
        <v>4.75</v>
      </c>
      <c r="P228" s="51">
        <v>0</v>
      </c>
      <c r="Q228" s="51">
        <v>5</v>
      </c>
      <c r="R228" s="51">
        <v>3</v>
      </c>
      <c r="S228" s="57" t="s">
        <v>135</v>
      </c>
      <c r="T228" s="51" t="s">
        <v>49</v>
      </c>
      <c r="U228" s="51">
        <v>2</v>
      </c>
      <c r="V228" s="51">
        <v>10</v>
      </c>
      <c r="W228" s="51">
        <v>1</v>
      </c>
      <c r="X228" s="51" t="s">
        <v>50</v>
      </c>
      <c r="Y228" s="57" t="s">
        <v>97</v>
      </c>
      <c r="Z228" s="58">
        <v>6.72</v>
      </c>
      <c r="AA228" s="57" t="s">
        <v>142</v>
      </c>
      <c r="AB228" s="59">
        <f t="shared" si="3"/>
        <v>45953</v>
      </c>
    </row>
    <row r="229" spans="1:28" ht="12.75">
      <c r="A229" s="56">
        <v>45953.386566944449</v>
      </c>
      <c r="B229" s="51" t="s">
        <v>424</v>
      </c>
      <c r="C229" s="51" t="s">
        <v>29</v>
      </c>
      <c r="D229" s="51" t="s">
        <v>30</v>
      </c>
      <c r="E229" s="51" t="s">
        <v>31</v>
      </c>
      <c r="F229" s="51" t="s">
        <v>53</v>
      </c>
      <c r="G229" s="51" t="s">
        <v>33</v>
      </c>
      <c r="H229" s="51">
        <v>23</v>
      </c>
      <c r="I229" s="51" t="s">
        <v>34</v>
      </c>
      <c r="J229" s="51" t="s">
        <v>108</v>
      </c>
      <c r="K229" s="51" t="s">
        <v>36</v>
      </c>
      <c r="L229" s="51" t="s">
        <v>68</v>
      </c>
      <c r="M229" s="51">
        <v>2</v>
      </c>
      <c r="N229" s="51">
        <v>1</v>
      </c>
      <c r="O229" s="52">
        <v>4.5</v>
      </c>
      <c r="P229" s="51">
        <v>1</v>
      </c>
      <c r="Q229" s="51">
        <v>3</v>
      </c>
      <c r="R229" s="51">
        <v>2</v>
      </c>
      <c r="S229" s="57" t="s">
        <v>249</v>
      </c>
      <c r="T229" s="51" t="s">
        <v>49</v>
      </c>
      <c r="U229" s="51">
        <v>2</v>
      </c>
      <c r="V229" s="51">
        <v>10</v>
      </c>
      <c r="W229" s="51">
        <v>3</v>
      </c>
      <c r="X229" s="51" t="s">
        <v>60</v>
      </c>
      <c r="Y229" s="57" t="s">
        <v>65</v>
      </c>
      <c r="Z229" s="58">
        <v>10.199999999999999</v>
      </c>
      <c r="AA229" s="57" t="s">
        <v>142</v>
      </c>
      <c r="AB229" s="59">
        <f t="shared" si="3"/>
        <v>45953</v>
      </c>
    </row>
    <row r="230" spans="1:28" ht="12.75">
      <c r="A230" s="56">
        <v>45953.396514039356</v>
      </c>
      <c r="B230" s="51" t="s">
        <v>425</v>
      </c>
      <c r="C230" s="51" t="s">
        <v>29</v>
      </c>
      <c r="D230" s="51" t="s">
        <v>30</v>
      </c>
      <c r="E230" s="51" t="s">
        <v>31</v>
      </c>
      <c r="F230" s="51" t="s">
        <v>53</v>
      </c>
      <c r="G230" s="51" t="s">
        <v>54</v>
      </c>
      <c r="H230" s="51">
        <v>23</v>
      </c>
      <c r="I230" s="51" t="s">
        <v>34</v>
      </c>
      <c r="J230" s="51" t="s">
        <v>108</v>
      </c>
      <c r="K230" s="51" t="s">
        <v>36</v>
      </c>
      <c r="L230" s="51" t="s">
        <v>100</v>
      </c>
      <c r="M230" s="51">
        <v>2</v>
      </c>
      <c r="N230" s="51">
        <v>2</v>
      </c>
      <c r="O230" s="52">
        <v>6.5</v>
      </c>
      <c r="P230" s="51">
        <v>2</v>
      </c>
      <c r="Q230" s="51">
        <v>4</v>
      </c>
      <c r="R230" s="51">
        <v>2</v>
      </c>
      <c r="S230" s="57" t="s">
        <v>59</v>
      </c>
      <c r="T230" s="51" t="s">
        <v>49</v>
      </c>
      <c r="U230" s="51">
        <v>3</v>
      </c>
      <c r="V230" s="51">
        <v>10</v>
      </c>
      <c r="W230" s="51">
        <v>2</v>
      </c>
      <c r="X230" s="51" t="s">
        <v>60</v>
      </c>
      <c r="Y230" s="57" t="s">
        <v>118</v>
      </c>
      <c r="Z230" s="58">
        <v>14.99</v>
      </c>
      <c r="AA230" s="57" t="s">
        <v>71</v>
      </c>
      <c r="AB230" s="59">
        <f t="shared" si="3"/>
        <v>45953</v>
      </c>
    </row>
    <row r="231" spans="1:28" ht="12.75">
      <c r="A231" s="56">
        <v>45953.412743136578</v>
      </c>
      <c r="B231" s="51" t="s">
        <v>426</v>
      </c>
      <c r="C231" s="51" t="s">
        <v>29</v>
      </c>
      <c r="D231" s="51" t="s">
        <v>30</v>
      </c>
      <c r="E231" s="51" t="s">
        <v>31</v>
      </c>
      <c r="F231" s="51" t="s">
        <v>53</v>
      </c>
      <c r="G231" s="51" t="s">
        <v>54</v>
      </c>
      <c r="H231" s="51">
        <v>23</v>
      </c>
      <c r="I231" s="51" t="s">
        <v>34</v>
      </c>
      <c r="J231" s="51" t="s">
        <v>108</v>
      </c>
      <c r="K231" s="51" t="s">
        <v>36</v>
      </c>
      <c r="L231" s="51" t="s">
        <v>100</v>
      </c>
      <c r="M231" s="51">
        <v>3</v>
      </c>
      <c r="N231" s="51">
        <v>2</v>
      </c>
      <c r="O231" s="52">
        <v>10.75</v>
      </c>
      <c r="P231" s="51">
        <v>1</v>
      </c>
      <c r="Q231" s="51">
        <v>4</v>
      </c>
      <c r="R231" s="51">
        <v>4</v>
      </c>
      <c r="S231" s="57" t="s">
        <v>55</v>
      </c>
      <c r="T231" s="51" t="s">
        <v>49</v>
      </c>
      <c r="U231" s="51">
        <v>0</v>
      </c>
      <c r="V231" s="51">
        <v>10</v>
      </c>
      <c r="W231" s="51">
        <v>1</v>
      </c>
      <c r="X231" s="51" t="s">
        <v>40</v>
      </c>
      <c r="Y231" s="57" t="s">
        <v>65</v>
      </c>
      <c r="Z231" s="58">
        <v>18.989999999999998</v>
      </c>
      <c r="AA231" s="57" t="s">
        <v>427</v>
      </c>
      <c r="AB231" s="59">
        <f t="shared" si="3"/>
        <v>45953</v>
      </c>
    </row>
    <row r="232" spans="1:28" ht="12.75">
      <c r="A232" s="56">
        <v>45953.448355138884</v>
      </c>
      <c r="B232" s="51" t="s">
        <v>428</v>
      </c>
      <c r="C232" s="51" t="s">
        <v>29</v>
      </c>
      <c r="D232" s="51" t="s">
        <v>30</v>
      </c>
      <c r="E232" s="51" t="s">
        <v>31</v>
      </c>
      <c r="F232" s="51" t="s">
        <v>53</v>
      </c>
      <c r="G232" s="51" t="s">
        <v>33</v>
      </c>
      <c r="H232" s="51">
        <v>23</v>
      </c>
      <c r="I232" s="51" t="s">
        <v>34</v>
      </c>
      <c r="J232" s="51" t="s">
        <v>35</v>
      </c>
      <c r="K232" s="51" t="s">
        <v>36</v>
      </c>
      <c r="L232" s="51" t="s">
        <v>37</v>
      </c>
      <c r="M232" s="51">
        <v>3</v>
      </c>
      <c r="N232" s="51">
        <v>3</v>
      </c>
      <c r="O232" s="52">
        <v>10.75</v>
      </c>
      <c r="P232" s="51">
        <v>0</v>
      </c>
      <c r="Q232" s="51">
        <v>5</v>
      </c>
      <c r="R232" s="51">
        <v>3</v>
      </c>
      <c r="S232" s="57" t="s">
        <v>141</v>
      </c>
      <c r="T232" s="51" t="s">
        <v>39</v>
      </c>
      <c r="U232" s="51">
        <v>3</v>
      </c>
      <c r="V232" s="51">
        <v>10</v>
      </c>
      <c r="W232" s="51">
        <v>3</v>
      </c>
      <c r="X232" s="51" t="s">
        <v>60</v>
      </c>
      <c r="Y232" s="57" t="s">
        <v>76</v>
      </c>
      <c r="Z232" s="58">
        <v>12.5</v>
      </c>
      <c r="AA232" s="57" t="s">
        <v>116</v>
      </c>
      <c r="AB232" s="59">
        <f t="shared" si="3"/>
        <v>45953</v>
      </c>
    </row>
    <row r="233" spans="1:28" ht="12.75">
      <c r="A233" s="56">
        <v>45953.583366921295</v>
      </c>
      <c r="B233" s="51" t="s">
        <v>429</v>
      </c>
      <c r="C233" s="51" t="s">
        <v>29</v>
      </c>
      <c r="D233" s="51" t="s">
        <v>30</v>
      </c>
      <c r="E233" s="51" t="s">
        <v>31</v>
      </c>
      <c r="F233" s="51" t="s">
        <v>53</v>
      </c>
      <c r="G233" s="51" t="s">
        <v>54</v>
      </c>
      <c r="H233" s="51">
        <v>23</v>
      </c>
      <c r="I233" s="51" t="s">
        <v>34</v>
      </c>
      <c r="J233" s="51" t="s">
        <v>35</v>
      </c>
      <c r="K233" s="51" t="s">
        <v>36</v>
      </c>
      <c r="L233" s="51" t="s">
        <v>74</v>
      </c>
      <c r="M233" s="51">
        <v>1</v>
      </c>
      <c r="N233" s="51">
        <v>1</v>
      </c>
      <c r="O233" s="52">
        <v>0</v>
      </c>
      <c r="P233" s="51">
        <v>0</v>
      </c>
      <c r="Q233" s="51">
        <v>3</v>
      </c>
      <c r="R233" s="51">
        <v>1</v>
      </c>
      <c r="S233" s="57" t="s">
        <v>146</v>
      </c>
      <c r="T233" s="51" t="s">
        <v>94</v>
      </c>
      <c r="U233" s="51">
        <v>3</v>
      </c>
      <c r="V233" s="51">
        <v>10</v>
      </c>
      <c r="W233" s="51">
        <v>1</v>
      </c>
      <c r="X233" s="51" t="s">
        <v>40</v>
      </c>
      <c r="Y233" s="57" t="s">
        <v>201</v>
      </c>
      <c r="Z233" s="58">
        <v>100.7</v>
      </c>
      <c r="AA233" s="57" t="s">
        <v>51</v>
      </c>
      <c r="AB233" s="59">
        <f t="shared" si="3"/>
        <v>45953</v>
      </c>
    </row>
    <row r="234" spans="1:28" ht="12.75">
      <c r="A234" s="56">
        <v>45953.674383159727</v>
      </c>
      <c r="B234" s="51" t="s">
        <v>430</v>
      </c>
      <c r="C234" s="51" t="s">
        <v>29</v>
      </c>
      <c r="D234" s="51" t="s">
        <v>30</v>
      </c>
      <c r="E234" s="51" t="s">
        <v>31</v>
      </c>
      <c r="F234" s="51" t="s">
        <v>32</v>
      </c>
      <c r="G234" s="51" t="s">
        <v>33</v>
      </c>
      <c r="H234" s="51">
        <v>23</v>
      </c>
      <c r="I234" s="51" t="s">
        <v>34</v>
      </c>
      <c r="J234" s="51" t="s">
        <v>64</v>
      </c>
      <c r="K234" s="51" t="s">
        <v>36</v>
      </c>
      <c r="L234" s="51" t="s">
        <v>74</v>
      </c>
      <c r="M234" s="51">
        <v>1</v>
      </c>
      <c r="N234" s="51">
        <v>2</v>
      </c>
      <c r="O234" s="52">
        <v>4</v>
      </c>
      <c r="P234" s="51">
        <v>0</v>
      </c>
      <c r="Q234" s="51">
        <v>3</v>
      </c>
      <c r="R234" s="51">
        <v>3</v>
      </c>
      <c r="S234" s="57" t="s">
        <v>38</v>
      </c>
      <c r="T234" s="51" t="s">
        <v>49</v>
      </c>
      <c r="U234" s="51">
        <v>7</v>
      </c>
      <c r="V234" s="51">
        <v>9</v>
      </c>
      <c r="W234" s="51">
        <v>1</v>
      </c>
      <c r="X234" s="51" t="s">
        <v>40</v>
      </c>
      <c r="Y234" s="57" t="s">
        <v>348</v>
      </c>
      <c r="Z234" s="58">
        <v>10</v>
      </c>
      <c r="AA234" s="57" t="s">
        <v>92</v>
      </c>
      <c r="AB234" s="59">
        <f t="shared" si="3"/>
        <v>45953</v>
      </c>
    </row>
    <row r="235" spans="1:28" ht="12.75">
      <c r="A235" s="56">
        <v>45953.755316944444</v>
      </c>
      <c r="B235" s="51" t="s">
        <v>431</v>
      </c>
      <c r="C235" s="51" t="s">
        <v>29</v>
      </c>
      <c r="D235" s="51" t="s">
        <v>30</v>
      </c>
      <c r="E235" s="51" t="s">
        <v>31</v>
      </c>
      <c r="F235" s="51" t="s">
        <v>53</v>
      </c>
      <c r="G235" s="51" t="s">
        <v>54</v>
      </c>
      <c r="H235" s="51">
        <v>23</v>
      </c>
      <c r="I235" s="51" t="s">
        <v>34</v>
      </c>
      <c r="J235" s="51" t="s">
        <v>79</v>
      </c>
      <c r="K235" s="51" t="s">
        <v>36</v>
      </c>
      <c r="L235" s="51" t="s">
        <v>100</v>
      </c>
      <c r="M235" s="51">
        <v>2</v>
      </c>
      <c r="N235" s="51">
        <v>2</v>
      </c>
      <c r="O235" s="52">
        <v>15.5</v>
      </c>
      <c r="P235" s="51">
        <v>0</v>
      </c>
      <c r="Q235" s="51">
        <v>4</v>
      </c>
      <c r="R235" s="51">
        <v>1</v>
      </c>
      <c r="S235" s="57" t="s">
        <v>192</v>
      </c>
      <c r="T235" s="51" t="s">
        <v>49</v>
      </c>
      <c r="U235" s="51">
        <v>1</v>
      </c>
      <c r="V235" s="51">
        <v>9</v>
      </c>
      <c r="W235" s="51">
        <v>1</v>
      </c>
      <c r="X235" s="51" t="s">
        <v>40</v>
      </c>
      <c r="Y235" s="57" t="s">
        <v>118</v>
      </c>
      <c r="Z235" s="58">
        <v>36.9</v>
      </c>
      <c r="AA235" s="57" t="s">
        <v>114</v>
      </c>
      <c r="AB235" s="59">
        <f t="shared" si="3"/>
        <v>45953</v>
      </c>
    </row>
    <row r="236" spans="1:28" ht="12.75">
      <c r="A236" s="56">
        <v>45953.824542199072</v>
      </c>
      <c r="B236" s="51" t="s">
        <v>432</v>
      </c>
      <c r="C236" s="51" t="s">
        <v>29</v>
      </c>
      <c r="D236" s="51" t="s">
        <v>30</v>
      </c>
      <c r="E236" s="51" t="s">
        <v>31</v>
      </c>
      <c r="F236" s="51" t="s">
        <v>32</v>
      </c>
      <c r="G236" s="51" t="s">
        <v>54</v>
      </c>
      <c r="H236" s="51">
        <v>23</v>
      </c>
      <c r="I236" s="51" t="s">
        <v>34</v>
      </c>
      <c r="J236" s="51" t="s">
        <v>64</v>
      </c>
      <c r="K236" s="51" t="s">
        <v>36</v>
      </c>
      <c r="L236" s="51" t="s">
        <v>37</v>
      </c>
      <c r="M236" s="51">
        <v>5</v>
      </c>
      <c r="N236" s="51">
        <v>5</v>
      </c>
      <c r="O236" s="52">
        <v>49</v>
      </c>
      <c r="P236" s="51">
        <v>5</v>
      </c>
      <c r="Q236" s="51">
        <v>5</v>
      </c>
      <c r="R236" s="51">
        <v>5</v>
      </c>
      <c r="S236" s="57" t="s">
        <v>130</v>
      </c>
      <c r="T236" s="51" t="s">
        <v>102</v>
      </c>
      <c r="U236" s="51">
        <v>4</v>
      </c>
      <c r="V236" s="51">
        <v>10</v>
      </c>
      <c r="W236" s="51">
        <v>3</v>
      </c>
      <c r="X236" s="51" t="s">
        <v>50</v>
      </c>
      <c r="Y236" s="57" t="s">
        <v>262</v>
      </c>
      <c r="Z236" s="58">
        <v>70</v>
      </c>
      <c r="AA236" s="57" t="s">
        <v>128</v>
      </c>
      <c r="AB236" s="59">
        <f t="shared" si="3"/>
        <v>45953</v>
      </c>
    </row>
    <row r="237" spans="1:28" ht="12.75">
      <c r="A237" s="56">
        <v>45953.827540428239</v>
      </c>
      <c r="B237" s="51" t="s">
        <v>433</v>
      </c>
      <c r="C237" s="51" t="s">
        <v>29</v>
      </c>
      <c r="D237" s="51" t="s">
        <v>30</v>
      </c>
      <c r="E237" s="51" t="s">
        <v>31</v>
      </c>
      <c r="F237" s="51" t="s">
        <v>32</v>
      </c>
      <c r="G237" s="51" t="s">
        <v>33</v>
      </c>
      <c r="H237" s="51">
        <v>23</v>
      </c>
      <c r="I237" s="51" t="s">
        <v>34</v>
      </c>
      <c r="J237" s="51" t="s">
        <v>64</v>
      </c>
      <c r="K237" s="51" t="s">
        <v>90</v>
      </c>
      <c r="L237" s="51" t="s">
        <v>47</v>
      </c>
      <c r="M237" s="51">
        <v>1</v>
      </c>
      <c r="N237" s="51">
        <v>1</v>
      </c>
      <c r="O237" s="52">
        <v>0</v>
      </c>
      <c r="P237" s="51">
        <v>0</v>
      </c>
      <c r="Q237" s="51">
        <v>2</v>
      </c>
      <c r="R237" s="51">
        <v>4</v>
      </c>
      <c r="S237" s="57" t="s">
        <v>48</v>
      </c>
      <c r="T237" s="51" t="s">
        <v>49</v>
      </c>
      <c r="U237" s="51">
        <v>6</v>
      </c>
      <c r="V237" s="51">
        <v>7</v>
      </c>
      <c r="W237" s="51">
        <v>1</v>
      </c>
      <c r="X237" s="51" t="s">
        <v>40</v>
      </c>
      <c r="Y237" s="57" t="s">
        <v>56</v>
      </c>
      <c r="Z237" s="58">
        <v>0</v>
      </c>
      <c r="AA237" s="57" t="s">
        <v>285</v>
      </c>
      <c r="AB237" s="59">
        <f t="shared" si="3"/>
        <v>45953</v>
      </c>
    </row>
    <row r="238" spans="1:28" ht="12.75">
      <c r="A238" s="56">
        <v>45954.419489236112</v>
      </c>
      <c r="B238" s="51" t="s">
        <v>434</v>
      </c>
      <c r="C238" s="51" t="s">
        <v>29</v>
      </c>
      <c r="D238" s="51" t="s">
        <v>30</v>
      </c>
      <c r="E238" s="51" t="s">
        <v>31</v>
      </c>
      <c r="F238" s="51" t="s">
        <v>44</v>
      </c>
      <c r="G238" s="51" t="s">
        <v>54</v>
      </c>
      <c r="H238" s="51">
        <v>23</v>
      </c>
      <c r="I238" s="51" t="s">
        <v>45</v>
      </c>
      <c r="J238" s="51" t="s">
        <v>35</v>
      </c>
      <c r="K238" s="51" t="s">
        <v>36</v>
      </c>
      <c r="L238" s="51" t="s">
        <v>37</v>
      </c>
      <c r="M238" s="51">
        <v>3</v>
      </c>
      <c r="N238" s="51">
        <v>3</v>
      </c>
      <c r="O238" s="52">
        <v>6</v>
      </c>
      <c r="P238" s="51">
        <v>1</v>
      </c>
      <c r="Q238" s="51">
        <v>5</v>
      </c>
      <c r="R238" s="51">
        <v>5</v>
      </c>
      <c r="S238" s="57" t="s">
        <v>38</v>
      </c>
      <c r="T238" s="51" t="s">
        <v>102</v>
      </c>
      <c r="U238" s="51">
        <v>14</v>
      </c>
      <c r="V238" s="51">
        <v>10</v>
      </c>
      <c r="W238" s="51">
        <v>2</v>
      </c>
      <c r="X238" s="51" t="s">
        <v>69</v>
      </c>
      <c r="Y238" s="57" t="s">
        <v>95</v>
      </c>
      <c r="Z238" s="58">
        <v>30</v>
      </c>
      <c r="AA238" s="57" t="s">
        <v>190</v>
      </c>
      <c r="AB238" s="59">
        <f t="shared" si="3"/>
        <v>45954</v>
      </c>
    </row>
    <row r="239" spans="1:28" ht="12.75">
      <c r="A239" s="56">
        <v>45954.451045000002</v>
      </c>
      <c r="B239" s="51" t="s">
        <v>435</v>
      </c>
      <c r="C239" s="51" t="s">
        <v>29</v>
      </c>
      <c r="D239" s="51" t="s">
        <v>30</v>
      </c>
      <c r="E239" s="51" t="s">
        <v>31</v>
      </c>
      <c r="F239" s="51" t="s">
        <v>44</v>
      </c>
      <c r="G239" s="51" t="s">
        <v>33</v>
      </c>
      <c r="H239" s="51">
        <v>23</v>
      </c>
      <c r="I239" s="51" t="s">
        <v>45</v>
      </c>
      <c r="J239" s="51" t="s">
        <v>46</v>
      </c>
      <c r="K239" s="51" t="s">
        <v>90</v>
      </c>
      <c r="L239" s="51" t="s">
        <v>47</v>
      </c>
      <c r="M239" s="51">
        <v>1</v>
      </c>
      <c r="N239" s="51">
        <v>1</v>
      </c>
      <c r="O239" s="52">
        <v>0</v>
      </c>
      <c r="P239" s="51">
        <v>0</v>
      </c>
      <c r="Q239" s="51">
        <v>3</v>
      </c>
      <c r="R239" s="51">
        <v>2</v>
      </c>
      <c r="S239" s="57" t="s">
        <v>91</v>
      </c>
      <c r="T239" s="51" t="s">
        <v>81</v>
      </c>
      <c r="U239" s="51">
        <v>1</v>
      </c>
      <c r="V239" s="51">
        <v>7</v>
      </c>
      <c r="W239" s="51">
        <v>2</v>
      </c>
      <c r="X239" s="51" t="s">
        <v>40</v>
      </c>
      <c r="Y239" s="57" t="s">
        <v>106</v>
      </c>
      <c r="Z239" s="58">
        <v>0</v>
      </c>
      <c r="AA239" s="57" t="s">
        <v>154</v>
      </c>
      <c r="AB239" s="59">
        <f t="shared" si="3"/>
        <v>45954</v>
      </c>
    </row>
    <row r="240" spans="1:28" ht="12.75">
      <c r="A240" s="56">
        <v>45954.497536481482</v>
      </c>
      <c r="B240" s="51" t="s">
        <v>436</v>
      </c>
      <c r="C240" s="51" t="s">
        <v>29</v>
      </c>
      <c r="D240" s="51" t="s">
        <v>30</v>
      </c>
      <c r="E240" s="51" t="s">
        <v>31</v>
      </c>
      <c r="F240" s="51" t="s">
        <v>44</v>
      </c>
      <c r="G240" s="51" t="s">
        <v>54</v>
      </c>
      <c r="H240" s="51">
        <v>23</v>
      </c>
      <c r="I240" s="51" t="s">
        <v>34</v>
      </c>
      <c r="J240" s="51" t="s">
        <v>35</v>
      </c>
      <c r="K240" s="51" t="s">
        <v>36</v>
      </c>
      <c r="L240" s="51" t="s">
        <v>37</v>
      </c>
      <c r="M240" s="51">
        <v>4</v>
      </c>
      <c r="N240" s="51">
        <v>4</v>
      </c>
      <c r="O240" s="52">
        <v>7</v>
      </c>
      <c r="P240" s="51">
        <v>2</v>
      </c>
      <c r="Q240" s="51">
        <v>5</v>
      </c>
      <c r="R240" s="51">
        <v>5</v>
      </c>
      <c r="S240" s="57" t="s">
        <v>38</v>
      </c>
      <c r="T240" s="51" t="s">
        <v>102</v>
      </c>
      <c r="U240" s="51">
        <v>5</v>
      </c>
      <c r="V240" s="51">
        <v>10</v>
      </c>
      <c r="W240" s="51">
        <v>4</v>
      </c>
      <c r="X240" s="51" t="s">
        <v>69</v>
      </c>
      <c r="Y240" s="57" t="s">
        <v>65</v>
      </c>
      <c r="Z240" s="58">
        <v>35</v>
      </c>
      <c r="AA240" s="57" t="s">
        <v>116</v>
      </c>
      <c r="AB240" s="59">
        <f t="shared" si="3"/>
        <v>45954</v>
      </c>
    </row>
    <row r="241" spans="1:28" ht="12.75">
      <c r="A241" s="56">
        <v>45954.505997731481</v>
      </c>
      <c r="B241" s="51" t="s">
        <v>437</v>
      </c>
      <c r="C241" s="51" t="s">
        <v>29</v>
      </c>
      <c r="D241" s="51" t="s">
        <v>30</v>
      </c>
      <c r="E241" s="51" t="s">
        <v>31</v>
      </c>
      <c r="F241" s="51" t="s">
        <v>44</v>
      </c>
      <c r="G241" s="51" t="s">
        <v>54</v>
      </c>
      <c r="H241" s="51">
        <v>23</v>
      </c>
      <c r="I241" s="51" t="s">
        <v>99</v>
      </c>
      <c r="J241" s="51" t="s">
        <v>79</v>
      </c>
      <c r="K241" s="51" t="s">
        <v>36</v>
      </c>
      <c r="L241" s="51" t="s">
        <v>68</v>
      </c>
      <c r="M241" s="51">
        <v>4</v>
      </c>
      <c r="N241" s="51">
        <v>3</v>
      </c>
      <c r="O241" s="52">
        <v>5</v>
      </c>
      <c r="P241" s="51">
        <v>1</v>
      </c>
      <c r="Q241" s="51">
        <v>5</v>
      </c>
      <c r="R241" s="51">
        <v>5</v>
      </c>
      <c r="S241" s="57" t="s">
        <v>141</v>
      </c>
      <c r="T241" s="51" t="s">
        <v>39</v>
      </c>
      <c r="U241" s="51">
        <v>3</v>
      </c>
      <c r="V241" s="51">
        <v>10</v>
      </c>
      <c r="W241" s="51">
        <v>3</v>
      </c>
      <c r="X241" s="51" t="s">
        <v>69</v>
      </c>
      <c r="Y241" s="57" t="s">
        <v>65</v>
      </c>
      <c r="Z241" s="58">
        <v>25</v>
      </c>
      <c r="AA241" s="57" t="s">
        <v>122</v>
      </c>
      <c r="AB241" s="59">
        <f t="shared" si="3"/>
        <v>45954</v>
      </c>
    </row>
    <row r="242" spans="1:28" ht="12.75">
      <c r="A242" s="56">
        <v>45954.525691921299</v>
      </c>
      <c r="B242" s="51" t="s">
        <v>438</v>
      </c>
      <c r="C242" s="51" t="s">
        <v>29</v>
      </c>
      <c r="D242" s="51" t="s">
        <v>30</v>
      </c>
      <c r="E242" s="51" t="s">
        <v>31</v>
      </c>
      <c r="F242" s="51" t="s">
        <v>44</v>
      </c>
      <c r="G242" s="51" t="s">
        <v>33</v>
      </c>
      <c r="H242" s="51">
        <v>23</v>
      </c>
      <c r="I242" s="51" t="s">
        <v>34</v>
      </c>
      <c r="J242" s="51" t="s">
        <v>46</v>
      </c>
      <c r="K242" s="51" t="s">
        <v>36</v>
      </c>
      <c r="L242" s="51" t="s">
        <v>74</v>
      </c>
      <c r="M242" s="51">
        <v>2</v>
      </c>
      <c r="N242" s="51">
        <v>2</v>
      </c>
      <c r="O242" s="52">
        <v>1</v>
      </c>
      <c r="P242" s="51">
        <v>0</v>
      </c>
      <c r="Q242" s="51">
        <v>4</v>
      </c>
      <c r="R242" s="51">
        <v>4</v>
      </c>
      <c r="S242" s="57" t="s">
        <v>38</v>
      </c>
      <c r="T242" s="51" t="s">
        <v>49</v>
      </c>
      <c r="U242" s="51">
        <v>2</v>
      </c>
      <c r="V242" s="51">
        <v>8</v>
      </c>
      <c r="W242" s="51">
        <v>2</v>
      </c>
      <c r="X242" s="51" t="s">
        <v>50</v>
      </c>
      <c r="Y242" s="57" t="s">
        <v>106</v>
      </c>
      <c r="Z242" s="58">
        <v>10</v>
      </c>
      <c r="AA242" s="57" t="s">
        <v>122</v>
      </c>
      <c r="AB242" s="59">
        <f t="shared" si="3"/>
        <v>45954</v>
      </c>
    </row>
    <row r="243" spans="1:28" ht="12.75">
      <c r="A243" s="56">
        <v>45954.540640439816</v>
      </c>
      <c r="B243" s="51" t="s">
        <v>439</v>
      </c>
      <c r="C243" s="51" t="s">
        <v>29</v>
      </c>
      <c r="D243" s="51" t="s">
        <v>30</v>
      </c>
      <c r="E243" s="51" t="s">
        <v>31</v>
      </c>
      <c r="F243" s="51" t="s">
        <v>44</v>
      </c>
      <c r="G243" s="51" t="s">
        <v>54</v>
      </c>
      <c r="H243" s="51">
        <v>23</v>
      </c>
      <c r="I243" s="51" t="s">
        <v>45</v>
      </c>
      <c r="J243" s="51" t="s">
        <v>64</v>
      </c>
      <c r="K243" s="51" t="s">
        <v>36</v>
      </c>
      <c r="L243" s="51" t="s">
        <v>100</v>
      </c>
      <c r="M243" s="51">
        <v>3</v>
      </c>
      <c r="N243" s="51">
        <v>3</v>
      </c>
      <c r="O243" s="52">
        <v>3</v>
      </c>
      <c r="P243" s="51">
        <v>1</v>
      </c>
      <c r="Q243" s="51">
        <v>4</v>
      </c>
      <c r="R243" s="51">
        <v>4</v>
      </c>
      <c r="S243" s="57" t="s">
        <v>48</v>
      </c>
      <c r="T243" s="51" t="s">
        <v>39</v>
      </c>
      <c r="U243" s="51">
        <v>2</v>
      </c>
      <c r="V243" s="51">
        <v>9</v>
      </c>
      <c r="W243" s="51">
        <v>3</v>
      </c>
      <c r="X243" s="51" t="s">
        <v>50</v>
      </c>
      <c r="Y243" s="57" t="s">
        <v>65</v>
      </c>
      <c r="Z243" s="58">
        <v>15</v>
      </c>
      <c r="AA243" s="57" t="s">
        <v>114</v>
      </c>
      <c r="AB243" s="59">
        <f t="shared" si="3"/>
        <v>45954</v>
      </c>
    </row>
    <row r="244" spans="1:28" ht="12.75">
      <c r="A244" s="56">
        <v>45954.567756828706</v>
      </c>
      <c r="B244" s="51" t="s">
        <v>440</v>
      </c>
      <c r="C244" s="51" t="s">
        <v>29</v>
      </c>
      <c r="D244" s="51" t="s">
        <v>30</v>
      </c>
      <c r="E244" s="51" t="s">
        <v>31</v>
      </c>
      <c r="F244" s="51" t="s">
        <v>85</v>
      </c>
      <c r="G244" s="51" t="s">
        <v>54</v>
      </c>
      <c r="H244" s="51">
        <v>23</v>
      </c>
      <c r="I244" s="51" t="s">
        <v>34</v>
      </c>
      <c r="J244" s="51" t="s">
        <v>46</v>
      </c>
      <c r="K244" s="51" t="s">
        <v>36</v>
      </c>
      <c r="L244" s="51" t="s">
        <v>100</v>
      </c>
      <c r="M244" s="51">
        <v>3</v>
      </c>
      <c r="N244" s="51">
        <v>3</v>
      </c>
      <c r="O244" s="52">
        <v>3</v>
      </c>
      <c r="P244" s="51">
        <v>1</v>
      </c>
      <c r="Q244" s="51">
        <v>4</v>
      </c>
      <c r="R244" s="51">
        <v>4</v>
      </c>
      <c r="S244" s="57" t="s">
        <v>249</v>
      </c>
      <c r="T244" s="51" t="s">
        <v>39</v>
      </c>
      <c r="U244" s="51">
        <v>2</v>
      </c>
      <c r="V244" s="51">
        <v>9</v>
      </c>
      <c r="W244" s="51">
        <v>3</v>
      </c>
      <c r="X244" s="51" t="s">
        <v>50</v>
      </c>
      <c r="Y244" s="57" t="s">
        <v>133</v>
      </c>
      <c r="Z244" s="58">
        <v>20</v>
      </c>
      <c r="AA244" s="57" t="s">
        <v>114</v>
      </c>
      <c r="AB244" s="59">
        <f t="shared" si="3"/>
        <v>45954</v>
      </c>
    </row>
    <row r="245" spans="1:28" ht="12.75">
      <c r="A245" s="56">
        <v>45954.581324722225</v>
      </c>
      <c r="B245" s="51" t="s">
        <v>441</v>
      </c>
      <c r="C245" s="51" t="s">
        <v>29</v>
      </c>
      <c r="D245" s="51" t="s">
        <v>30</v>
      </c>
      <c r="E245" s="51" t="s">
        <v>31</v>
      </c>
      <c r="F245" s="51" t="s">
        <v>44</v>
      </c>
      <c r="G245" s="51" t="s">
        <v>54</v>
      </c>
      <c r="H245" s="51">
        <v>23</v>
      </c>
      <c r="I245" s="51" t="s">
        <v>45</v>
      </c>
      <c r="J245" s="51" t="s">
        <v>64</v>
      </c>
      <c r="K245" s="51" t="s">
        <v>36</v>
      </c>
      <c r="L245" s="51" t="s">
        <v>74</v>
      </c>
      <c r="M245" s="51">
        <v>2</v>
      </c>
      <c r="N245" s="51">
        <v>2</v>
      </c>
      <c r="O245" s="52">
        <v>1.5</v>
      </c>
      <c r="P245" s="51">
        <v>0</v>
      </c>
      <c r="Q245" s="51">
        <v>4</v>
      </c>
      <c r="R245" s="51">
        <v>3</v>
      </c>
      <c r="S245" s="57" t="s">
        <v>38</v>
      </c>
      <c r="T245" s="51" t="s">
        <v>49</v>
      </c>
      <c r="U245" s="51">
        <v>1</v>
      </c>
      <c r="V245" s="51">
        <v>8</v>
      </c>
      <c r="W245" s="51">
        <v>3</v>
      </c>
      <c r="X245" s="51" t="s">
        <v>50</v>
      </c>
      <c r="Y245" s="57" t="s">
        <v>82</v>
      </c>
      <c r="Z245" s="58">
        <v>10</v>
      </c>
      <c r="AA245" s="57" t="s">
        <v>83</v>
      </c>
      <c r="AB245" s="59">
        <f t="shared" si="3"/>
        <v>45954</v>
      </c>
    </row>
    <row r="246" spans="1:28" ht="12.75">
      <c r="A246" s="56">
        <v>45954.601541377313</v>
      </c>
      <c r="B246" s="51" t="s">
        <v>442</v>
      </c>
      <c r="C246" s="51" t="s">
        <v>29</v>
      </c>
      <c r="D246" s="51" t="s">
        <v>30</v>
      </c>
      <c r="E246" s="51" t="s">
        <v>31</v>
      </c>
      <c r="F246" s="51" t="s">
        <v>44</v>
      </c>
      <c r="G246" s="51" t="s">
        <v>54</v>
      </c>
      <c r="H246" s="51">
        <v>23</v>
      </c>
      <c r="I246" s="51" t="s">
        <v>99</v>
      </c>
      <c r="J246" s="51" t="s">
        <v>35</v>
      </c>
      <c r="K246" s="51" t="s">
        <v>36</v>
      </c>
      <c r="L246" s="51" t="s">
        <v>74</v>
      </c>
      <c r="M246" s="51">
        <v>3</v>
      </c>
      <c r="N246" s="51">
        <v>3</v>
      </c>
      <c r="O246" s="52">
        <v>4</v>
      </c>
      <c r="P246" s="51">
        <v>1</v>
      </c>
      <c r="Q246" s="51">
        <v>5</v>
      </c>
      <c r="R246" s="51">
        <v>4</v>
      </c>
      <c r="S246" s="57" t="s">
        <v>38</v>
      </c>
      <c r="T246" s="51" t="s">
        <v>39</v>
      </c>
      <c r="U246" s="51">
        <v>3</v>
      </c>
      <c r="V246" s="51">
        <v>10</v>
      </c>
      <c r="W246" s="51">
        <v>3</v>
      </c>
      <c r="X246" s="51" t="s">
        <v>50</v>
      </c>
      <c r="Y246" s="57" t="s">
        <v>82</v>
      </c>
      <c r="Z246" s="58">
        <v>20</v>
      </c>
      <c r="AA246" s="57" t="s">
        <v>122</v>
      </c>
      <c r="AB246" s="59">
        <f t="shared" si="3"/>
        <v>45954</v>
      </c>
    </row>
    <row r="247" spans="1:28" ht="12.75">
      <c r="A247" s="56">
        <v>45954.715373287036</v>
      </c>
      <c r="B247" s="51" t="s">
        <v>443</v>
      </c>
      <c r="C247" s="51" t="s">
        <v>29</v>
      </c>
      <c r="D247" s="51" t="s">
        <v>30</v>
      </c>
      <c r="E247" s="51" t="s">
        <v>31</v>
      </c>
      <c r="F247" s="51" t="s">
        <v>44</v>
      </c>
      <c r="G247" s="51" t="s">
        <v>54</v>
      </c>
      <c r="H247" s="51">
        <v>23</v>
      </c>
      <c r="I247" s="51" t="s">
        <v>99</v>
      </c>
      <c r="J247" s="51" t="s">
        <v>35</v>
      </c>
      <c r="K247" s="51" t="s">
        <v>36</v>
      </c>
      <c r="L247" s="51" t="s">
        <v>68</v>
      </c>
      <c r="M247" s="51">
        <v>4</v>
      </c>
      <c r="N247" s="51">
        <v>4</v>
      </c>
      <c r="O247" s="52">
        <v>6</v>
      </c>
      <c r="P247" s="51">
        <v>2</v>
      </c>
      <c r="Q247" s="51">
        <v>5</v>
      </c>
      <c r="R247" s="51">
        <v>5</v>
      </c>
      <c r="S247" s="57" t="s">
        <v>38</v>
      </c>
      <c r="T247" s="51" t="s">
        <v>39</v>
      </c>
      <c r="U247" s="51">
        <v>3</v>
      </c>
      <c r="V247" s="51">
        <v>10</v>
      </c>
      <c r="W247" s="51">
        <v>3</v>
      </c>
      <c r="X247" s="51" t="s">
        <v>69</v>
      </c>
      <c r="Y247" s="57" t="s">
        <v>76</v>
      </c>
      <c r="Z247" s="58">
        <v>25</v>
      </c>
      <c r="AA247" s="57" t="s">
        <v>122</v>
      </c>
      <c r="AB247" s="59">
        <f t="shared" si="3"/>
        <v>45954</v>
      </c>
    </row>
    <row r="248" spans="1:28" ht="12.75">
      <c r="A248" s="56">
        <v>45954.744127094906</v>
      </c>
      <c r="B248" s="51" t="s">
        <v>444</v>
      </c>
      <c r="C248" s="51" t="s">
        <v>29</v>
      </c>
      <c r="D248" s="51" t="s">
        <v>30</v>
      </c>
      <c r="E248" s="51" t="s">
        <v>31</v>
      </c>
      <c r="F248" s="51" t="s">
        <v>85</v>
      </c>
      <c r="G248" s="51" t="s">
        <v>33</v>
      </c>
      <c r="H248" s="51">
        <v>23</v>
      </c>
      <c r="I248" s="51" t="s">
        <v>34</v>
      </c>
      <c r="J248" s="51" t="s">
        <v>89</v>
      </c>
      <c r="K248" s="51" t="s">
        <v>36</v>
      </c>
      <c r="L248" s="51" t="s">
        <v>37</v>
      </c>
      <c r="M248" s="51">
        <v>3</v>
      </c>
      <c r="N248" s="51">
        <v>3</v>
      </c>
      <c r="O248" s="52">
        <v>3</v>
      </c>
      <c r="P248" s="51">
        <v>0</v>
      </c>
      <c r="Q248" s="51">
        <v>4</v>
      </c>
      <c r="R248" s="51">
        <v>5</v>
      </c>
      <c r="S248" s="57" t="s">
        <v>91</v>
      </c>
      <c r="T248" s="51" t="s">
        <v>39</v>
      </c>
      <c r="U248" s="51">
        <v>50</v>
      </c>
      <c r="V248" s="51">
        <v>10</v>
      </c>
      <c r="W248" s="51">
        <v>2</v>
      </c>
      <c r="X248" s="51" t="s">
        <v>69</v>
      </c>
      <c r="Y248" s="57" t="s">
        <v>95</v>
      </c>
      <c r="Z248" s="58">
        <v>100</v>
      </c>
      <c r="AA248" s="57" t="s">
        <v>174</v>
      </c>
      <c r="AB248" s="59">
        <f t="shared" si="3"/>
        <v>45954</v>
      </c>
    </row>
    <row r="249" spans="1:28" ht="12.75">
      <c r="A249" s="56">
        <v>45954.748613599542</v>
      </c>
      <c r="B249" s="51" t="s">
        <v>445</v>
      </c>
      <c r="C249" s="51" t="s">
        <v>29</v>
      </c>
      <c r="D249" s="51" t="s">
        <v>30</v>
      </c>
      <c r="E249" s="51" t="s">
        <v>31</v>
      </c>
      <c r="F249" s="51" t="s">
        <v>44</v>
      </c>
      <c r="G249" s="51" t="s">
        <v>54</v>
      </c>
      <c r="H249" s="51">
        <v>23</v>
      </c>
      <c r="I249" s="51" t="s">
        <v>45</v>
      </c>
      <c r="J249" s="51" t="s">
        <v>79</v>
      </c>
      <c r="K249" s="51" t="s">
        <v>36</v>
      </c>
      <c r="L249" s="51" t="s">
        <v>74</v>
      </c>
      <c r="M249" s="51">
        <v>3</v>
      </c>
      <c r="N249" s="51">
        <v>3</v>
      </c>
      <c r="O249" s="52">
        <v>4</v>
      </c>
      <c r="P249" s="51">
        <v>1</v>
      </c>
      <c r="Q249" s="51">
        <v>5</v>
      </c>
      <c r="R249" s="51">
        <v>5</v>
      </c>
      <c r="S249" s="57" t="s">
        <v>55</v>
      </c>
      <c r="T249" s="51" t="s">
        <v>39</v>
      </c>
      <c r="U249" s="51">
        <v>3</v>
      </c>
      <c r="V249" s="51">
        <v>10</v>
      </c>
      <c r="W249" s="51">
        <v>3</v>
      </c>
      <c r="X249" s="51" t="s">
        <v>50</v>
      </c>
      <c r="Y249" s="57" t="s">
        <v>82</v>
      </c>
      <c r="Z249" s="58">
        <v>20</v>
      </c>
      <c r="AA249" s="57" t="s">
        <v>197</v>
      </c>
      <c r="AB249" s="59">
        <f t="shared" si="3"/>
        <v>45954</v>
      </c>
    </row>
    <row r="250" spans="1:28" ht="12.75">
      <c r="A250" s="56">
        <v>45954.753850266206</v>
      </c>
      <c r="B250" s="51" t="s">
        <v>446</v>
      </c>
      <c r="C250" s="51" t="s">
        <v>29</v>
      </c>
      <c r="D250" s="51" t="s">
        <v>30</v>
      </c>
      <c r="E250" s="51" t="s">
        <v>31</v>
      </c>
      <c r="F250" s="51" t="s">
        <v>85</v>
      </c>
      <c r="G250" s="51" t="s">
        <v>33</v>
      </c>
      <c r="H250" s="51">
        <v>23</v>
      </c>
      <c r="I250" s="51" t="s">
        <v>45</v>
      </c>
      <c r="J250" s="51" t="s">
        <v>108</v>
      </c>
      <c r="K250" s="51" t="s">
        <v>36</v>
      </c>
      <c r="L250" s="51" t="s">
        <v>74</v>
      </c>
      <c r="M250" s="51">
        <v>1</v>
      </c>
      <c r="N250" s="51">
        <v>1</v>
      </c>
      <c r="O250" s="52">
        <v>1</v>
      </c>
      <c r="P250" s="51">
        <v>2</v>
      </c>
      <c r="Q250" s="51">
        <v>1</v>
      </c>
      <c r="R250" s="51">
        <v>1</v>
      </c>
      <c r="S250" s="57" t="s">
        <v>48</v>
      </c>
      <c r="T250" s="51" t="s">
        <v>81</v>
      </c>
      <c r="U250" s="51">
        <v>3</v>
      </c>
      <c r="V250" s="51">
        <v>6</v>
      </c>
      <c r="W250" s="51">
        <v>1</v>
      </c>
      <c r="X250" s="51" t="s">
        <v>40</v>
      </c>
      <c r="Y250" s="57" t="s">
        <v>348</v>
      </c>
      <c r="Z250" s="58">
        <v>0</v>
      </c>
      <c r="AA250" s="57" t="s">
        <v>190</v>
      </c>
      <c r="AB250" s="59">
        <f t="shared" si="3"/>
        <v>45954</v>
      </c>
    </row>
    <row r="251" spans="1:28" ht="12.75">
      <c r="A251" s="56">
        <v>45954.755496550926</v>
      </c>
      <c r="B251" s="51" t="s">
        <v>447</v>
      </c>
      <c r="C251" s="51" t="s">
        <v>29</v>
      </c>
      <c r="D251" s="51" t="s">
        <v>30</v>
      </c>
      <c r="E251" s="51" t="s">
        <v>31</v>
      </c>
      <c r="F251" s="51" t="s">
        <v>44</v>
      </c>
      <c r="G251" s="51" t="s">
        <v>54</v>
      </c>
      <c r="H251" s="51">
        <v>23</v>
      </c>
      <c r="I251" s="51" t="s">
        <v>99</v>
      </c>
      <c r="J251" s="51" t="s">
        <v>35</v>
      </c>
      <c r="K251" s="51" t="s">
        <v>36</v>
      </c>
      <c r="L251" s="51" t="s">
        <v>74</v>
      </c>
      <c r="M251" s="51">
        <v>4</v>
      </c>
      <c r="N251" s="51">
        <v>4</v>
      </c>
      <c r="O251" s="52">
        <v>6</v>
      </c>
      <c r="P251" s="51">
        <v>2</v>
      </c>
      <c r="Q251" s="51">
        <v>5</v>
      </c>
      <c r="R251" s="51">
        <v>5</v>
      </c>
      <c r="S251" s="57" t="s">
        <v>55</v>
      </c>
      <c r="T251" s="51" t="s">
        <v>39</v>
      </c>
      <c r="U251" s="51">
        <v>3</v>
      </c>
      <c r="V251" s="51">
        <v>10</v>
      </c>
      <c r="W251" s="51">
        <v>3</v>
      </c>
      <c r="X251" s="51" t="s">
        <v>69</v>
      </c>
      <c r="Y251" s="57" t="s">
        <v>272</v>
      </c>
      <c r="Z251" s="58">
        <v>30</v>
      </c>
      <c r="AA251" s="57" t="s">
        <v>42</v>
      </c>
      <c r="AB251" s="59">
        <f t="shared" si="3"/>
        <v>45954</v>
      </c>
    </row>
    <row r="252" spans="1:28" ht="12.75">
      <c r="A252" s="56">
        <v>45954.763592974537</v>
      </c>
      <c r="B252" s="51" t="s">
        <v>448</v>
      </c>
      <c r="C252" s="51" t="s">
        <v>29</v>
      </c>
      <c r="D252" s="51" t="s">
        <v>30</v>
      </c>
      <c r="E252" s="51" t="s">
        <v>31</v>
      </c>
      <c r="F252" s="51" t="s">
        <v>85</v>
      </c>
      <c r="G252" s="51" t="s">
        <v>54</v>
      </c>
      <c r="H252" s="51">
        <v>23</v>
      </c>
      <c r="I252" s="51" t="s">
        <v>45</v>
      </c>
      <c r="J252" s="51" t="s">
        <v>35</v>
      </c>
      <c r="K252" s="51" t="s">
        <v>90</v>
      </c>
      <c r="L252" s="51" t="s">
        <v>47</v>
      </c>
      <c r="M252" s="51">
        <v>1</v>
      </c>
      <c r="N252" s="51">
        <v>1</v>
      </c>
      <c r="O252" s="52">
        <v>0</v>
      </c>
      <c r="P252" s="51">
        <v>0</v>
      </c>
      <c r="Q252" s="51">
        <v>1</v>
      </c>
      <c r="R252" s="51">
        <v>1</v>
      </c>
      <c r="S252" s="57" t="s">
        <v>449</v>
      </c>
      <c r="T252" s="51" t="s">
        <v>49</v>
      </c>
      <c r="U252" s="51">
        <v>2</v>
      </c>
      <c r="V252" s="51">
        <v>8</v>
      </c>
      <c r="W252" s="51">
        <v>2</v>
      </c>
      <c r="X252" s="51" t="s">
        <v>40</v>
      </c>
      <c r="Y252" s="57" t="s">
        <v>241</v>
      </c>
      <c r="Z252" s="58">
        <v>0</v>
      </c>
      <c r="AA252" s="57" t="s">
        <v>250</v>
      </c>
      <c r="AB252" s="59">
        <f t="shared" si="3"/>
        <v>45954</v>
      </c>
    </row>
    <row r="253" spans="1:28" ht="12.75">
      <c r="A253" s="56">
        <v>45954.775562604162</v>
      </c>
      <c r="B253" s="51" t="s">
        <v>450</v>
      </c>
      <c r="C253" s="51" t="s">
        <v>29</v>
      </c>
      <c r="D253" s="51" t="s">
        <v>30</v>
      </c>
      <c r="E253" s="51" t="s">
        <v>31</v>
      </c>
      <c r="F253" s="51" t="s">
        <v>85</v>
      </c>
      <c r="G253" s="51" t="s">
        <v>54</v>
      </c>
      <c r="H253" s="51">
        <v>23</v>
      </c>
      <c r="I253" s="51" t="s">
        <v>34</v>
      </c>
      <c r="J253" s="51" t="s">
        <v>64</v>
      </c>
      <c r="K253" s="51" t="s">
        <v>36</v>
      </c>
      <c r="L253" s="51" t="s">
        <v>74</v>
      </c>
      <c r="M253" s="51">
        <v>1</v>
      </c>
      <c r="N253" s="51">
        <v>1</v>
      </c>
      <c r="O253" s="52">
        <v>0</v>
      </c>
      <c r="P253" s="51">
        <v>2</v>
      </c>
      <c r="Q253" s="51">
        <v>2</v>
      </c>
      <c r="R253" s="51">
        <v>2</v>
      </c>
      <c r="S253" s="57" t="s">
        <v>127</v>
      </c>
      <c r="T253" s="51" t="s">
        <v>81</v>
      </c>
      <c r="U253" s="51">
        <v>0</v>
      </c>
      <c r="V253" s="51">
        <v>8</v>
      </c>
      <c r="W253" s="51">
        <v>1</v>
      </c>
      <c r="X253" s="51" t="s">
        <v>40</v>
      </c>
      <c r="Y253" s="57" t="s">
        <v>61</v>
      </c>
      <c r="Z253" s="58">
        <v>0</v>
      </c>
      <c r="AA253" s="57" t="s">
        <v>66</v>
      </c>
      <c r="AB253" s="59">
        <f t="shared" si="3"/>
        <v>45954</v>
      </c>
    </row>
    <row r="254" spans="1:28" ht="12.75">
      <c r="A254" s="56">
        <v>45954.776769583332</v>
      </c>
      <c r="B254" s="51" t="s">
        <v>451</v>
      </c>
      <c r="C254" s="51" t="s">
        <v>29</v>
      </c>
      <c r="D254" s="51" t="s">
        <v>30</v>
      </c>
      <c r="E254" s="51" t="s">
        <v>31</v>
      </c>
      <c r="F254" s="51" t="s">
        <v>85</v>
      </c>
      <c r="G254" s="51" t="s">
        <v>54</v>
      </c>
      <c r="H254" s="51">
        <v>23</v>
      </c>
      <c r="I254" s="51" t="s">
        <v>34</v>
      </c>
      <c r="J254" s="51" t="s">
        <v>64</v>
      </c>
      <c r="K254" s="51" t="s">
        <v>36</v>
      </c>
      <c r="L254" s="51" t="s">
        <v>100</v>
      </c>
      <c r="M254" s="51">
        <v>2</v>
      </c>
      <c r="N254" s="51">
        <v>2</v>
      </c>
      <c r="O254" s="52">
        <v>2</v>
      </c>
      <c r="P254" s="51">
        <v>0</v>
      </c>
      <c r="Q254" s="51">
        <v>4</v>
      </c>
      <c r="R254" s="51">
        <v>3</v>
      </c>
      <c r="S254" s="57" t="s">
        <v>192</v>
      </c>
      <c r="T254" s="51" t="s">
        <v>49</v>
      </c>
      <c r="U254" s="51">
        <v>5</v>
      </c>
      <c r="V254" s="51">
        <v>9</v>
      </c>
      <c r="W254" s="51">
        <v>3</v>
      </c>
      <c r="X254" s="51" t="s">
        <v>69</v>
      </c>
      <c r="Y254" s="57" t="s">
        <v>166</v>
      </c>
      <c r="Z254" s="58">
        <v>200</v>
      </c>
      <c r="AA254" s="57" t="s">
        <v>250</v>
      </c>
      <c r="AB254" s="59">
        <f t="shared" si="3"/>
        <v>45954</v>
      </c>
    </row>
    <row r="255" spans="1:28" ht="12.75">
      <c r="A255" s="56">
        <v>45954.787349074075</v>
      </c>
      <c r="B255" s="51" t="s">
        <v>452</v>
      </c>
      <c r="C255" s="51" t="s">
        <v>29</v>
      </c>
      <c r="D255" s="51" t="s">
        <v>30</v>
      </c>
      <c r="E255" s="51" t="s">
        <v>31</v>
      </c>
      <c r="F255" s="51" t="s">
        <v>85</v>
      </c>
      <c r="G255" s="51" t="s">
        <v>33</v>
      </c>
      <c r="H255" s="51">
        <v>23</v>
      </c>
      <c r="I255" s="51" t="s">
        <v>45</v>
      </c>
      <c r="J255" s="51" t="s">
        <v>46</v>
      </c>
      <c r="K255" s="51" t="s">
        <v>36</v>
      </c>
      <c r="L255" s="51" t="s">
        <v>113</v>
      </c>
      <c r="M255" s="51">
        <v>4</v>
      </c>
      <c r="N255" s="51">
        <v>3</v>
      </c>
      <c r="O255" s="52">
        <v>11</v>
      </c>
      <c r="P255" s="51">
        <v>3</v>
      </c>
      <c r="Q255" s="51">
        <v>4</v>
      </c>
      <c r="R255" s="51">
        <v>3</v>
      </c>
      <c r="S255" s="57" t="s">
        <v>355</v>
      </c>
      <c r="T255" s="51" t="s">
        <v>39</v>
      </c>
      <c r="U255" s="51">
        <v>3</v>
      </c>
      <c r="V255" s="51">
        <v>10</v>
      </c>
      <c r="W255" s="51">
        <v>2</v>
      </c>
      <c r="X255" s="51" t="s">
        <v>69</v>
      </c>
      <c r="Y255" s="57" t="s">
        <v>95</v>
      </c>
      <c r="Z255" s="58">
        <v>80</v>
      </c>
      <c r="AA255" s="57" t="s">
        <v>332</v>
      </c>
      <c r="AB255" s="59">
        <f t="shared" si="3"/>
        <v>45954</v>
      </c>
    </row>
    <row r="256" spans="1:28" ht="12.75">
      <c r="A256" s="56">
        <v>45954.809016203704</v>
      </c>
      <c r="B256" s="51" t="s">
        <v>453</v>
      </c>
      <c r="C256" s="51" t="s">
        <v>29</v>
      </c>
      <c r="D256" s="51" t="s">
        <v>30</v>
      </c>
      <c r="E256" s="51" t="s">
        <v>31</v>
      </c>
      <c r="F256" s="51" t="s">
        <v>85</v>
      </c>
      <c r="G256" s="51" t="s">
        <v>33</v>
      </c>
      <c r="H256" s="51">
        <v>23</v>
      </c>
      <c r="I256" s="51" t="s">
        <v>34</v>
      </c>
      <c r="J256" s="51" t="s">
        <v>46</v>
      </c>
      <c r="K256" s="51" t="s">
        <v>36</v>
      </c>
      <c r="L256" s="51" t="s">
        <v>74</v>
      </c>
      <c r="M256" s="51">
        <v>2</v>
      </c>
      <c r="N256" s="51">
        <v>2</v>
      </c>
      <c r="O256" s="52">
        <v>1</v>
      </c>
      <c r="P256" s="51">
        <v>0</v>
      </c>
      <c r="Q256" s="51">
        <v>2</v>
      </c>
      <c r="R256" s="51">
        <v>2</v>
      </c>
      <c r="S256" s="57" t="s">
        <v>91</v>
      </c>
      <c r="T256" s="51" t="s">
        <v>49</v>
      </c>
      <c r="U256" s="51">
        <v>3</v>
      </c>
      <c r="V256" s="51">
        <v>8</v>
      </c>
      <c r="W256" s="51">
        <v>3</v>
      </c>
      <c r="X256" s="51" t="s">
        <v>40</v>
      </c>
      <c r="Y256" s="57" t="s">
        <v>95</v>
      </c>
      <c r="Z256" s="58">
        <v>0</v>
      </c>
      <c r="AA256" s="57" t="s">
        <v>250</v>
      </c>
      <c r="AB256" s="59">
        <f t="shared" si="3"/>
        <v>45954</v>
      </c>
    </row>
    <row r="257" spans="1:28" ht="12.75">
      <c r="A257" s="56">
        <v>45954.816650925924</v>
      </c>
      <c r="B257" s="51" t="s">
        <v>454</v>
      </c>
      <c r="C257" s="51" t="s">
        <v>29</v>
      </c>
      <c r="D257" s="51" t="s">
        <v>30</v>
      </c>
      <c r="E257" s="51" t="s">
        <v>31</v>
      </c>
      <c r="F257" s="51" t="s">
        <v>85</v>
      </c>
      <c r="G257" s="51" t="s">
        <v>54</v>
      </c>
      <c r="H257" s="51">
        <v>23</v>
      </c>
      <c r="I257" s="51" t="s">
        <v>34</v>
      </c>
      <c r="J257" s="51" t="s">
        <v>64</v>
      </c>
      <c r="K257" s="51" t="s">
        <v>36</v>
      </c>
      <c r="L257" s="51" t="s">
        <v>74</v>
      </c>
      <c r="M257" s="51">
        <v>1</v>
      </c>
      <c r="N257" s="51">
        <v>1</v>
      </c>
      <c r="O257" s="52">
        <v>1</v>
      </c>
      <c r="P257" s="51">
        <v>0</v>
      </c>
      <c r="Q257" s="51">
        <v>1</v>
      </c>
      <c r="R257" s="51">
        <v>1</v>
      </c>
      <c r="S257" s="57" t="s">
        <v>192</v>
      </c>
      <c r="T257" s="51" t="s">
        <v>81</v>
      </c>
      <c r="U257" s="51">
        <v>6</v>
      </c>
      <c r="V257" s="51">
        <v>8</v>
      </c>
      <c r="W257" s="51">
        <v>1</v>
      </c>
      <c r="X257" s="51" t="s">
        <v>40</v>
      </c>
      <c r="Y257" s="57" t="s">
        <v>272</v>
      </c>
      <c r="Z257" s="58">
        <v>0</v>
      </c>
      <c r="AA257" s="57" t="s">
        <v>252</v>
      </c>
      <c r="AB257" s="59">
        <f t="shared" si="3"/>
        <v>45954</v>
      </c>
    </row>
    <row r="258" spans="1:28" ht="12.75">
      <c r="A258" s="56">
        <v>45954.825546631946</v>
      </c>
      <c r="B258" s="51" t="s">
        <v>455</v>
      </c>
      <c r="C258" s="51" t="s">
        <v>29</v>
      </c>
      <c r="D258" s="51" t="s">
        <v>30</v>
      </c>
      <c r="E258" s="51" t="s">
        <v>31</v>
      </c>
      <c r="F258" s="51" t="s">
        <v>85</v>
      </c>
      <c r="G258" s="51" t="s">
        <v>33</v>
      </c>
      <c r="H258" s="51">
        <v>23</v>
      </c>
      <c r="I258" s="51" t="s">
        <v>34</v>
      </c>
      <c r="J258" s="51" t="s">
        <v>64</v>
      </c>
      <c r="K258" s="51" t="s">
        <v>36</v>
      </c>
      <c r="L258" s="51" t="s">
        <v>68</v>
      </c>
      <c r="M258" s="51">
        <v>2</v>
      </c>
      <c r="N258" s="51">
        <v>1</v>
      </c>
      <c r="O258" s="52">
        <v>2</v>
      </c>
      <c r="P258" s="51">
        <v>0</v>
      </c>
      <c r="Q258" s="51">
        <v>2</v>
      </c>
      <c r="R258" s="51">
        <v>2</v>
      </c>
      <c r="S258" s="57" t="s">
        <v>48</v>
      </c>
      <c r="T258" s="51" t="s">
        <v>81</v>
      </c>
      <c r="U258" s="51">
        <v>3</v>
      </c>
      <c r="V258" s="51">
        <v>8</v>
      </c>
      <c r="W258" s="51">
        <v>2</v>
      </c>
      <c r="X258" s="51" t="s">
        <v>40</v>
      </c>
      <c r="Y258" s="57" t="s">
        <v>95</v>
      </c>
      <c r="Z258" s="58">
        <v>0</v>
      </c>
      <c r="AA258" s="57" t="s">
        <v>128</v>
      </c>
      <c r="AB258" s="59">
        <f t="shared" ref="AB258:AB321" si="4">INT(A258)</f>
        <v>45954</v>
      </c>
    </row>
    <row r="259" spans="1:28" ht="12.75">
      <c r="A259" s="56">
        <v>45954.839544953706</v>
      </c>
      <c r="B259" s="51" t="s">
        <v>456</v>
      </c>
      <c r="C259" s="51" t="s">
        <v>29</v>
      </c>
      <c r="D259" s="51" t="s">
        <v>30</v>
      </c>
      <c r="E259" s="51" t="s">
        <v>31</v>
      </c>
      <c r="F259" s="51" t="s">
        <v>85</v>
      </c>
      <c r="G259" s="51" t="s">
        <v>54</v>
      </c>
      <c r="H259" s="51">
        <v>23</v>
      </c>
      <c r="I259" s="51" t="s">
        <v>34</v>
      </c>
      <c r="J259" s="51" t="s">
        <v>108</v>
      </c>
      <c r="K259" s="51" t="s">
        <v>36</v>
      </c>
      <c r="L259" s="51" t="s">
        <v>74</v>
      </c>
      <c r="M259" s="51">
        <v>2</v>
      </c>
      <c r="N259" s="51">
        <v>1</v>
      </c>
      <c r="O259" s="52">
        <v>1</v>
      </c>
      <c r="P259" s="51">
        <v>0</v>
      </c>
      <c r="Q259" s="51">
        <v>3</v>
      </c>
      <c r="R259" s="51">
        <v>1</v>
      </c>
      <c r="S259" s="57" t="s">
        <v>141</v>
      </c>
      <c r="T259" s="51" t="s">
        <v>81</v>
      </c>
      <c r="U259" s="51">
        <v>5</v>
      </c>
      <c r="V259" s="51">
        <v>8</v>
      </c>
      <c r="W259" s="51">
        <v>4</v>
      </c>
      <c r="X259" s="51" t="s">
        <v>50</v>
      </c>
      <c r="Y259" s="57" t="s">
        <v>144</v>
      </c>
      <c r="Z259" s="58">
        <v>0</v>
      </c>
      <c r="AA259" s="57" t="s">
        <v>254</v>
      </c>
      <c r="AB259" s="59">
        <f t="shared" si="4"/>
        <v>45954</v>
      </c>
    </row>
    <row r="260" spans="1:28" ht="12.75">
      <c r="A260" s="56">
        <v>45954.847618726853</v>
      </c>
      <c r="B260" s="51" t="s">
        <v>457</v>
      </c>
      <c r="C260" s="51" t="s">
        <v>29</v>
      </c>
      <c r="D260" s="51" t="s">
        <v>30</v>
      </c>
      <c r="E260" s="51" t="s">
        <v>31</v>
      </c>
      <c r="F260" s="51" t="s">
        <v>85</v>
      </c>
      <c r="G260" s="51" t="s">
        <v>33</v>
      </c>
      <c r="H260" s="51">
        <v>23</v>
      </c>
      <c r="I260" s="51" t="s">
        <v>34</v>
      </c>
      <c r="J260" s="51" t="s">
        <v>64</v>
      </c>
      <c r="K260" s="51" t="s">
        <v>36</v>
      </c>
      <c r="L260" s="51" t="s">
        <v>74</v>
      </c>
      <c r="M260" s="51">
        <v>2</v>
      </c>
      <c r="N260" s="51">
        <v>2</v>
      </c>
      <c r="O260" s="52">
        <v>2</v>
      </c>
      <c r="P260" s="51">
        <v>0</v>
      </c>
      <c r="Q260" s="51">
        <v>2</v>
      </c>
      <c r="R260" s="51">
        <v>2</v>
      </c>
      <c r="S260" s="57" t="s">
        <v>48</v>
      </c>
      <c r="T260" s="51" t="s">
        <v>81</v>
      </c>
      <c r="U260" s="51">
        <v>9</v>
      </c>
      <c r="V260" s="51">
        <v>7</v>
      </c>
      <c r="W260" s="51">
        <v>2</v>
      </c>
      <c r="X260" s="51" t="s">
        <v>40</v>
      </c>
      <c r="Y260" s="57" t="s">
        <v>166</v>
      </c>
      <c r="Z260" s="58">
        <v>90</v>
      </c>
      <c r="AA260" s="57" t="s">
        <v>285</v>
      </c>
      <c r="AB260" s="59">
        <f t="shared" si="4"/>
        <v>45954</v>
      </c>
    </row>
    <row r="261" spans="1:28" ht="12.75">
      <c r="A261" s="56">
        <v>45954.857293773151</v>
      </c>
      <c r="B261" s="51" t="s">
        <v>458</v>
      </c>
      <c r="C261" s="51" t="s">
        <v>29</v>
      </c>
      <c r="D261" s="51" t="s">
        <v>30</v>
      </c>
      <c r="E261" s="51" t="s">
        <v>31</v>
      </c>
      <c r="F261" s="51" t="s">
        <v>85</v>
      </c>
      <c r="G261" s="51" t="s">
        <v>54</v>
      </c>
      <c r="H261" s="51">
        <v>23</v>
      </c>
      <c r="I261" s="51" t="s">
        <v>34</v>
      </c>
      <c r="J261" s="51" t="s">
        <v>64</v>
      </c>
      <c r="K261" s="51" t="s">
        <v>90</v>
      </c>
      <c r="L261" s="51" t="s">
        <v>47</v>
      </c>
      <c r="M261" s="51">
        <v>1</v>
      </c>
      <c r="N261" s="51">
        <v>1</v>
      </c>
      <c r="O261" s="52">
        <v>0</v>
      </c>
      <c r="P261" s="51">
        <v>0</v>
      </c>
      <c r="Q261" s="51">
        <v>3</v>
      </c>
      <c r="R261" s="51">
        <v>3</v>
      </c>
      <c r="S261" s="57" t="s">
        <v>48</v>
      </c>
      <c r="T261" s="51" t="s">
        <v>49</v>
      </c>
      <c r="U261" s="51">
        <v>3</v>
      </c>
      <c r="V261" s="51">
        <v>8</v>
      </c>
      <c r="W261" s="51">
        <v>3</v>
      </c>
      <c r="X261" s="51" t="s">
        <v>40</v>
      </c>
      <c r="Y261" s="57" t="s">
        <v>166</v>
      </c>
      <c r="Z261" s="58">
        <v>0</v>
      </c>
      <c r="AA261" s="57" t="s">
        <v>128</v>
      </c>
      <c r="AB261" s="59">
        <f t="shared" si="4"/>
        <v>45954</v>
      </c>
    </row>
    <row r="262" spans="1:28" ht="12.75">
      <c r="A262" s="56">
        <v>45954.865107129634</v>
      </c>
      <c r="B262" s="51" t="s">
        <v>459</v>
      </c>
      <c r="C262" s="51" t="s">
        <v>29</v>
      </c>
      <c r="D262" s="51" t="s">
        <v>30</v>
      </c>
      <c r="E262" s="51" t="s">
        <v>31</v>
      </c>
      <c r="F262" s="51" t="s">
        <v>85</v>
      </c>
      <c r="G262" s="51" t="s">
        <v>33</v>
      </c>
      <c r="H262" s="51">
        <v>23</v>
      </c>
      <c r="I262" s="51" t="s">
        <v>34</v>
      </c>
      <c r="J262" s="51" t="s">
        <v>46</v>
      </c>
      <c r="K262" s="51" t="s">
        <v>90</v>
      </c>
      <c r="L262" s="51" t="s">
        <v>47</v>
      </c>
      <c r="M262" s="51">
        <v>1</v>
      </c>
      <c r="N262" s="51">
        <v>1</v>
      </c>
      <c r="O262" s="52">
        <v>0</v>
      </c>
      <c r="P262" s="51">
        <v>0</v>
      </c>
      <c r="Q262" s="51">
        <v>1</v>
      </c>
      <c r="R262" s="51">
        <v>1</v>
      </c>
      <c r="S262" s="57" t="s">
        <v>192</v>
      </c>
      <c r="T262" s="51" t="s">
        <v>81</v>
      </c>
      <c r="U262" s="51">
        <v>4</v>
      </c>
      <c r="V262" s="51">
        <v>6</v>
      </c>
      <c r="W262" s="51">
        <v>1</v>
      </c>
      <c r="X262" s="51" t="s">
        <v>40</v>
      </c>
      <c r="Y262" s="57" t="s">
        <v>41</v>
      </c>
      <c r="Z262" s="58">
        <v>0</v>
      </c>
      <c r="AA262" s="57" t="s">
        <v>87</v>
      </c>
      <c r="AB262" s="59">
        <f t="shared" si="4"/>
        <v>45954</v>
      </c>
    </row>
    <row r="263" spans="1:28" ht="12.75">
      <c r="A263" s="56">
        <v>45954.869854444449</v>
      </c>
      <c r="B263" s="51" t="s">
        <v>460</v>
      </c>
      <c r="C263" s="51" t="s">
        <v>29</v>
      </c>
      <c r="D263" s="51" t="s">
        <v>30</v>
      </c>
      <c r="E263" s="51" t="s">
        <v>31</v>
      </c>
      <c r="F263" s="51" t="s">
        <v>85</v>
      </c>
      <c r="G263" s="51" t="s">
        <v>33</v>
      </c>
      <c r="H263" s="51">
        <v>23</v>
      </c>
      <c r="I263" s="51" t="s">
        <v>34</v>
      </c>
      <c r="J263" s="51" t="s">
        <v>64</v>
      </c>
      <c r="K263" s="51" t="s">
        <v>36</v>
      </c>
      <c r="L263" s="51" t="s">
        <v>37</v>
      </c>
      <c r="M263" s="51">
        <v>1</v>
      </c>
      <c r="N263" s="51">
        <v>1</v>
      </c>
      <c r="O263" s="52">
        <v>1</v>
      </c>
      <c r="P263" s="51">
        <v>0</v>
      </c>
      <c r="Q263" s="51">
        <v>2</v>
      </c>
      <c r="R263" s="51">
        <v>2</v>
      </c>
      <c r="S263" s="57" t="s">
        <v>38</v>
      </c>
      <c r="T263" s="51" t="s">
        <v>81</v>
      </c>
      <c r="U263" s="51">
        <v>2</v>
      </c>
      <c r="V263" s="51">
        <v>8</v>
      </c>
      <c r="W263" s="51">
        <v>1</v>
      </c>
      <c r="X263" s="51" t="s">
        <v>40</v>
      </c>
      <c r="Y263" s="57" t="s">
        <v>166</v>
      </c>
      <c r="Z263" s="58">
        <v>0</v>
      </c>
      <c r="AA263" s="57" t="s">
        <v>66</v>
      </c>
      <c r="AB263" s="59">
        <f t="shared" si="4"/>
        <v>45954</v>
      </c>
    </row>
    <row r="264" spans="1:28" ht="12.75">
      <c r="A264" s="56">
        <v>45954.875932997689</v>
      </c>
      <c r="B264" s="51" t="s">
        <v>461</v>
      </c>
      <c r="C264" s="51" t="s">
        <v>29</v>
      </c>
      <c r="D264" s="51" t="s">
        <v>30</v>
      </c>
      <c r="E264" s="51" t="s">
        <v>31</v>
      </c>
      <c r="F264" s="51" t="s">
        <v>85</v>
      </c>
      <c r="G264" s="51" t="s">
        <v>54</v>
      </c>
      <c r="H264" s="51">
        <v>23</v>
      </c>
      <c r="I264" s="51" t="s">
        <v>34</v>
      </c>
      <c r="J264" s="51" t="s">
        <v>35</v>
      </c>
      <c r="K264" s="51" t="s">
        <v>36</v>
      </c>
      <c r="L264" s="51" t="s">
        <v>68</v>
      </c>
      <c r="M264" s="51">
        <v>3</v>
      </c>
      <c r="N264" s="51">
        <v>2</v>
      </c>
      <c r="O264" s="52">
        <v>0</v>
      </c>
      <c r="P264" s="51">
        <v>5</v>
      </c>
      <c r="Q264" s="51">
        <v>2</v>
      </c>
      <c r="R264" s="51">
        <v>2</v>
      </c>
      <c r="S264" s="57" t="s">
        <v>48</v>
      </c>
      <c r="T264" s="51" t="s">
        <v>81</v>
      </c>
      <c r="U264" s="51">
        <v>4</v>
      </c>
      <c r="V264" s="51">
        <v>8</v>
      </c>
      <c r="W264" s="51">
        <v>3</v>
      </c>
      <c r="X264" s="51" t="s">
        <v>40</v>
      </c>
      <c r="Y264" s="57" t="s">
        <v>65</v>
      </c>
      <c r="Z264" s="58">
        <v>0</v>
      </c>
      <c r="AA264" s="57" t="s">
        <v>462</v>
      </c>
      <c r="AB264" s="59">
        <f t="shared" si="4"/>
        <v>45954</v>
      </c>
    </row>
    <row r="265" spans="1:28" ht="12.75">
      <c r="A265" s="56">
        <v>45954.880184895832</v>
      </c>
      <c r="B265" s="51" t="s">
        <v>463</v>
      </c>
      <c r="C265" s="51" t="s">
        <v>29</v>
      </c>
      <c r="D265" s="51" t="s">
        <v>30</v>
      </c>
      <c r="E265" s="51" t="s">
        <v>31</v>
      </c>
      <c r="F265" s="51" t="s">
        <v>32</v>
      </c>
      <c r="G265" s="51" t="s">
        <v>54</v>
      </c>
      <c r="H265" s="51">
        <v>23</v>
      </c>
      <c r="I265" s="51" t="s">
        <v>34</v>
      </c>
      <c r="J265" s="51" t="s">
        <v>64</v>
      </c>
      <c r="K265" s="51" t="s">
        <v>36</v>
      </c>
      <c r="L265" s="51" t="s">
        <v>74</v>
      </c>
      <c r="M265" s="51">
        <v>1</v>
      </c>
      <c r="N265" s="51">
        <v>3</v>
      </c>
      <c r="O265" s="52">
        <v>1.5</v>
      </c>
      <c r="P265" s="51">
        <v>0</v>
      </c>
      <c r="Q265" s="51">
        <v>4</v>
      </c>
      <c r="R265" s="51">
        <v>1</v>
      </c>
      <c r="S265" s="57" t="s">
        <v>48</v>
      </c>
      <c r="T265" s="51" t="s">
        <v>49</v>
      </c>
      <c r="U265" s="51">
        <v>2</v>
      </c>
      <c r="V265" s="51">
        <v>7</v>
      </c>
      <c r="W265" s="51">
        <v>1</v>
      </c>
      <c r="X265" s="51" t="s">
        <v>40</v>
      </c>
      <c r="Y265" s="57" t="s">
        <v>41</v>
      </c>
      <c r="Z265" s="58">
        <v>15</v>
      </c>
      <c r="AA265" s="57" t="s">
        <v>87</v>
      </c>
      <c r="AB265" s="59">
        <f t="shared" si="4"/>
        <v>45954</v>
      </c>
    </row>
    <row r="266" spans="1:28" ht="12.75">
      <c r="A266" s="56">
        <v>45954.902819097224</v>
      </c>
      <c r="B266" s="51" t="s">
        <v>464</v>
      </c>
      <c r="C266" s="51" t="s">
        <v>29</v>
      </c>
      <c r="D266" s="51" t="s">
        <v>30</v>
      </c>
      <c r="E266" s="51" t="s">
        <v>31</v>
      </c>
      <c r="F266" s="51" t="s">
        <v>32</v>
      </c>
      <c r="G266" s="51" t="s">
        <v>54</v>
      </c>
      <c r="H266" s="51">
        <v>23</v>
      </c>
      <c r="I266" s="51" t="s">
        <v>34</v>
      </c>
      <c r="J266" s="51" t="s">
        <v>64</v>
      </c>
      <c r="K266" s="51" t="s">
        <v>36</v>
      </c>
      <c r="L266" s="51" t="s">
        <v>37</v>
      </c>
      <c r="M266" s="51">
        <v>5</v>
      </c>
      <c r="N266" s="51">
        <v>5</v>
      </c>
      <c r="O266" s="52">
        <v>18</v>
      </c>
      <c r="P266" s="51">
        <v>5</v>
      </c>
      <c r="Q266" s="51">
        <v>5</v>
      </c>
      <c r="R266" s="51">
        <v>5</v>
      </c>
      <c r="S266" s="57" t="s">
        <v>259</v>
      </c>
      <c r="T266" s="51" t="s">
        <v>102</v>
      </c>
      <c r="U266" s="51">
        <v>2</v>
      </c>
      <c r="V266" s="51">
        <v>10</v>
      </c>
      <c r="W266" s="51">
        <v>5</v>
      </c>
      <c r="X266" s="51" t="s">
        <v>50</v>
      </c>
      <c r="Y266" s="57" t="s">
        <v>95</v>
      </c>
      <c r="Z266" s="58">
        <v>99.98</v>
      </c>
      <c r="AA266" s="57" t="s">
        <v>219</v>
      </c>
      <c r="AB266" s="59">
        <f t="shared" si="4"/>
        <v>45954</v>
      </c>
    </row>
    <row r="267" spans="1:28" ht="12.75">
      <c r="A267" s="56">
        <v>45954.923616099535</v>
      </c>
      <c r="B267" s="51" t="s">
        <v>465</v>
      </c>
      <c r="C267" s="51" t="s">
        <v>29</v>
      </c>
      <c r="D267" s="51" t="s">
        <v>30</v>
      </c>
      <c r="E267" s="51" t="s">
        <v>31</v>
      </c>
      <c r="F267" s="51" t="s">
        <v>32</v>
      </c>
      <c r="G267" s="51" t="s">
        <v>54</v>
      </c>
      <c r="H267" s="51">
        <v>23</v>
      </c>
      <c r="I267" s="51" t="s">
        <v>34</v>
      </c>
      <c r="J267" s="51" t="s">
        <v>64</v>
      </c>
      <c r="K267" s="51" t="s">
        <v>36</v>
      </c>
      <c r="L267" s="51" t="s">
        <v>113</v>
      </c>
      <c r="M267" s="51">
        <v>2</v>
      </c>
      <c r="N267" s="51">
        <v>5</v>
      </c>
      <c r="O267" s="52">
        <v>6</v>
      </c>
      <c r="P267" s="51">
        <v>3</v>
      </c>
      <c r="Q267" s="51">
        <v>5</v>
      </c>
      <c r="R267" s="51">
        <v>3</v>
      </c>
      <c r="S267" s="57" t="s">
        <v>125</v>
      </c>
      <c r="T267" s="51" t="s">
        <v>94</v>
      </c>
      <c r="U267" s="51">
        <v>2</v>
      </c>
      <c r="V267" s="51">
        <v>10</v>
      </c>
      <c r="W267" s="51">
        <v>4</v>
      </c>
      <c r="X267" s="51" t="s">
        <v>50</v>
      </c>
      <c r="Y267" s="57" t="s">
        <v>95</v>
      </c>
      <c r="Z267" s="58">
        <v>30</v>
      </c>
      <c r="AA267" s="57" t="s">
        <v>128</v>
      </c>
      <c r="AB267" s="59">
        <f t="shared" si="4"/>
        <v>45954</v>
      </c>
    </row>
    <row r="268" spans="1:28" ht="12.75">
      <c r="A268" s="56">
        <v>45954.930539166671</v>
      </c>
      <c r="B268" s="51" t="s">
        <v>466</v>
      </c>
      <c r="C268" s="51" t="s">
        <v>29</v>
      </c>
      <c r="D268" s="51" t="s">
        <v>30</v>
      </c>
      <c r="E268" s="51" t="s">
        <v>31</v>
      </c>
      <c r="F268" s="51" t="s">
        <v>32</v>
      </c>
      <c r="G268" s="51" t="s">
        <v>54</v>
      </c>
      <c r="H268" s="51">
        <v>23</v>
      </c>
      <c r="I268" s="51" t="s">
        <v>34</v>
      </c>
      <c r="J268" s="51" t="s">
        <v>64</v>
      </c>
      <c r="K268" s="51" t="s">
        <v>36</v>
      </c>
      <c r="L268" s="51" t="s">
        <v>74</v>
      </c>
      <c r="M268" s="51">
        <v>3</v>
      </c>
      <c r="N268" s="51">
        <v>5</v>
      </c>
      <c r="O268" s="52">
        <v>10</v>
      </c>
      <c r="P268" s="51">
        <v>2</v>
      </c>
      <c r="Q268" s="51">
        <v>3</v>
      </c>
      <c r="R268" s="51">
        <v>4</v>
      </c>
      <c r="S268" s="57" t="s">
        <v>295</v>
      </c>
      <c r="T268" s="51" t="s">
        <v>49</v>
      </c>
      <c r="U268" s="51">
        <v>5</v>
      </c>
      <c r="V268" s="51">
        <v>9</v>
      </c>
      <c r="W268" s="51">
        <v>2</v>
      </c>
      <c r="X268" s="51" t="s">
        <v>50</v>
      </c>
      <c r="Y268" s="57" t="s">
        <v>95</v>
      </c>
      <c r="Z268" s="58">
        <v>12</v>
      </c>
      <c r="AA268" s="57" t="s">
        <v>92</v>
      </c>
      <c r="AB268" s="59">
        <f t="shared" si="4"/>
        <v>45954</v>
      </c>
    </row>
    <row r="269" spans="1:28" ht="12.75">
      <c r="A269" s="56">
        <v>45954.938454895833</v>
      </c>
      <c r="B269" s="51" t="s">
        <v>467</v>
      </c>
      <c r="C269" s="51" t="s">
        <v>29</v>
      </c>
      <c r="D269" s="51" t="s">
        <v>30</v>
      </c>
      <c r="E269" s="51" t="s">
        <v>31</v>
      </c>
      <c r="F269" s="51" t="s">
        <v>32</v>
      </c>
      <c r="G269" s="51" t="s">
        <v>54</v>
      </c>
      <c r="H269" s="51">
        <v>23</v>
      </c>
      <c r="I269" s="51" t="s">
        <v>34</v>
      </c>
      <c r="J269" s="51" t="s">
        <v>64</v>
      </c>
      <c r="K269" s="51" t="s">
        <v>36</v>
      </c>
      <c r="L269" s="51" t="s">
        <v>37</v>
      </c>
      <c r="M269" s="51">
        <v>1</v>
      </c>
      <c r="N269" s="51">
        <v>5</v>
      </c>
      <c r="O269" s="52">
        <v>200</v>
      </c>
      <c r="P269" s="51">
        <v>6</v>
      </c>
      <c r="Q269" s="51">
        <v>5</v>
      </c>
      <c r="R269" s="51">
        <v>5</v>
      </c>
      <c r="S269" s="57" t="s">
        <v>259</v>
      </c>
      <c r="T269" s="51" t="s">
        <v>102</v>
      </c>
      <c r="U269" s="51">
        <v>4</v>
      </c>
      <c r="V269" s="51">
        <v>10</v>
      </c>
      <c r="W269" s="51">
        <v>4</v>
      </c>
      <c r="X269" s="51" t="s">
        <v>50</v>
      </c>
      <c r="Y269" s="57" t="s">
        <v>262</v>
      </c>
      <c r="Z269" s="58">
        <v>75</v>
      </c>
      <c r="AA269" s="57" t="s">
        <v>332</v>
      </c>
      <c r="AB269" s="59">
        <f t="shared" si="4"/>
        <v>45954</v>
      </c>
    </row>
    <row r="270" spans="1:28" ht="12.75">
      <c r="A270" s="56">
        <v>45954.941791030091</v>
      </c>
      <c r="B270" s="51" t="s">
        <v>468</v>
      </c>
      <c r="C270" s="51" t="s">
        <v>29</v>
      </c>
      <c r="D270" s="51" t="s">
        <v>30</v>
      </c>
      <c r="E270" s="51" t="s">
        <v>31</v>
      </c>
      <c r="F270" s="51" t="s">
        <v>85</v>
      </c>
      <c r="G270" s="51" t="s">
        <v>54</v>
      </c>
      <c r="H270" s="51">
        <v>23</v>
      </c>
      <c r="I270" s="51" t="s">
        <v>45</v>
      </c>
      <c r="J270" s="51" t="s">
        <v>35</v>
      </c>
      <c r="K270" s="51" t="s">
        <v>90</v>
      </c>
      <c r="L270" s="51" t="s">
        <v>47</v>
      </c>
      <c r="M270" s="51">
        <v>1</v>
      </c>
      <c r="N270" s="51">
        <v>1</v>
      </c>
      <c r="O270" s="52">
        <v>0</v>
      </c>
      <c r="P270" s="51">
        <v>0</v>
      </c>
      <c r="Q270" s="51">
        <v>1</v>
      </c>
      <c r="R270" s="51">
        <v>1</v>
      </c>
      <c r="S270" s="57" t="s">
        <v>91</v>
      </c>
      <c r="T270" s="51" t="s">
        <v>81</v>
      </c>
      <c r="U270" s="51">
        <v>8</v>
      </c>
      <c r="V270" s="51">
        <v>5</v>
      </c>
      <c r="W270" s="51">
        <v>2</v>
      </c>
      <c r="X270" s="51" t="s">
        <v>40</v>
      </c>
      <c r="Y270" s="57" t="s">
        <v>262</v>
      </c>
      <c r="Z270" s="58">
        <v>0</v>
      </c>
      <c r="AA270" s="57" t="s">
        <v>174</v>
      </c>
      <c r="AB270" s="59">
        <f t="shared" si="4"/>
        <v>45954</v>
      </c>
    </row>
    <row r="271" spans="1:28" ht="12.75">
      <c r="A271" s="56">
        <v>45951.990743182869</v>
      </c>
      <c r="B271" s="51" t="s">
        <v>469</v>
      </c>
      <c r="C271" s="51" t="s">
        <v>29</v>
      </c>
      <c r="D271" s="51" t="s">
        <v>30</v>
      </c>
      <c r="E271" s="51" t="s">
        <v>31</v>
      </c>
      <c r="F271" s="51" t="s">
        <v>32</v>
      </c>
      <c r="G271" s="51" t="s">
        <v>54</v>
      </c>
      <c r="H271" s="51">
        <v>24</v>
      </c>
      <c r="I271" s="51" t="s">
        <v>34</v>
      </c>
      <c r="J271" s="51" t="s">
        <v>64</v>
      </c>
      <c r="K271" s="51" t="s">
        <v>36</v>
      </c>
      <c r="L271" s="51" t="s">
        <v>37</v>
      </c>
      <c r="M271" s="51">
        <v>2</v>
      </c>
      <c r="N271" s="51">
        <v>4</v>
      </c>
      <c r="O271" s="52">
        <v>7</v>
      </c>
      <c r="P271" s="51">
        <v>1</v>
      </c>
      <c r="Q271" s="51">
        <v>5</v>
      </c>
      <c r="R271" s="51">
        <v>5</v>
      </c>
      <c r="S271" s="57" t="s">
        <v>355</v>
      </c>
      <c r="T271" s="51" t="s">
        <v>94</v>
      </c>
      <c r="U271" s="51">
        <v>8</v>
      </c>
      <c r="V271" s="51">
        <v>10</v>
      </c>
      <c r="W271" s="51">
        <v>3</v>
      </c>
      <c r="X271" s="51" t="s">
        <v>69</v>
      </c>
      <c r="Y271" s="57" t="s">
        <v>348</v>
      </c>
      <c r="Z271" s="58">
        <v>80</v>
      </c>
      <c r="AA271" s="57" t="s">
        <v>142</v>
      </c>
      <c r="AB271" s="59">
        <f t="shared" si="4"/>
        <v>45951</v>
      </c>
    </row>
    <row r="272" spans="1:28" ht="12.75">
      <c r="A272" s="56">
        <v>45952.185388194441</v>
      </c>
      <c r="B272" s="51" t="s">
        <v>470</v>
      </c>
      <c r="C272" s="51" t="s">
        <v>29</v>
      </c>
      <c r="D272" s="51" t="s">
        <v>30</v>
      </c>
      <c r="E272" s="51" t="s">
        <v>31</v>
      </c>
      <c r="F272" s="51" t="s">
        <v>44</v>
      </c>
      <c r="G272" s="51" t="s">
        <v>54</v>
      </c>
      <c r="H272" s="51">
        <v>24</v>
      </c>
      <c r="I272" s="51" t="s">
        <v>34</v>
      </c>
      <c r="J272" s="51" t="s">
        <v>64</v>
      </c>
      <c r="K272" s="51" t="s">
        <v>36</v>
      </c>
      <c r="L272" s="51" t="s">
        <v>68</v>
      </c>
      <c r="M272" s="51">
        <v>2</v>
      </c>
      <c r="N272" s="51">
        <v>2</v>
      </c>
      <c r="O272" s="52">
        <v>5</v>
      </c>
      <c r="P272" s="51">
        <v>0</v>
      </c>
      <c r="Q272" s="51">
        <v>4</v>
      </c>
      <c r="R272" s="51">
        <v>4</v>
      </c>
      <c r="S272" s="57" t="s">
        <v>86</v>
      </c>
      <c r="T272" s="51" t="s">
        <v>102</v>
      </c>
      <c r="U272" s="51">
        <v>10</v>
      </c>
      <c r="V272" s="51">
        <v>10</v>
      </c>
      <c r="W272" s="51">
        <v>1</v>
      </c>
      <c r="X272" s="51" t="s">
        <v>50</v>
      </c>
      <c r="Y272" s="57" t="s">
        <v>106</v>
      </c>
      <c r="Z272" s="58">
        <v>25</v>
      </c>
      <c r="AA272" s="57" t="s">
        <v>51</v>
      </c>
      <c r="AB272" s="59">
        <f t="shared" si="4"/>
        <v>45952</v>
      </c>
    </row>
    <row r="273" spans="1:28" ht="12.75">
      <c r="A273" s="56">
        <v>45953.102680358796</v>
      </c>
      <c r="B273" s="51" t="s">
        <v>471</v>
      </c>
      <c r="C273" s="51" t="s">
        <v>29</v>
      </c>
      <c r="D273" s="51" t="s">
        <v>30</v>
      </c>
      <c r="E273" s="51" t="s">
        <v>31</v>
      </c>
      <c r="F273" s="51" t="s">
        <v>32</v>
      </c>
      <c r="G273" s="51" t="s">
        <v>54</v>
      </c>
      <c r="H273" s="51">
        <v>24</v>
      </c>
      <c r="I273" s="51" t="s">
        <v>34</v>
      </c>
      <c r="J273" s="51" t="s">
        <v>64</v>
      </c>
      <c r="K273" s="51" t="s">
        <v>90</v>
      </c>
      <c r="L273" s="51" t="s">
        <v>47</v>
      </c>
      <c r="M273" s="51">
        <v>1</v>
      </c>
      <c r="N273" s="51">
        <v>2</v>
      </c>
      <c r="O273" s="52">
        <v>0</v>
      </c>
      <c r="P273" s="51">
        <v>0</v>
      </c>
      <c r="Q273" s="51">
        <v>3</v>
      </c>
      <c r="R273" s="51">
        <v>3</v>
      </c>
      <c r="S273" s="57" t="s">
        <v>38</v>
      </c>
      <c r="T273" s="51" t="s">
        <v>81</v>
      </c>
      <c r="U273" s="51">
        <v>6</v>
      </c>
      <c r="V273" s="51">
        <v>6</v>
      </c>
      <c r="W273" s="51">
        <v>1</v>
      </c>
      <c r="X273" s="51" t="s">
        <v>40</v>
      </c>
      <c r="Y273" s="57" t="s">
        <v>348</v>
      </c>
      <c r="Z273" s="58">
        <v>14.99</v>
      </c>
      <c r="AA273" s="57" t="s">
        <v>157</v>
      </c>
      <c r="AB273" s="59">
        <f t="shared" si="4"/>
        <v>45953</v>
      </c>
    </row>
    <row r="274" spans="1:28" ht="12.75">
      <c r="A274" s="56">
        <v>45953.37390554398</v>
      </c>
      <c r="B274" s="51" t="s">
        <v>472</v>
      </c>
      <c r="C274" s="51" t="s">
        <v>29</v>
      </c>
      <c r="D274" s="51" t="s">
        <v>30</v>
      </c>
      <c r="E274" s="51" t="s">
        <v>31</v>
      </c>
      <c r="F274" s="51" t="s">
        <v>53</v>
      </c>
      <c r="G274" s="51" t="s">
        <v>54</v>
      </c>
      <c r="H274" s="51">
        <v>24</v>
      </c>
      <c r="I274" s="51" t="s">
        <v>34</v>
      </c>
      <c r="J274" s="51" t="s">
        <v>79</v>
      </c>
      <c r="K274" s="51" t="s">
        <v>36</v>
      </c>
      <c r="L274" s="51" t="s">
        <v>74</v>
      </c>
      <c r="M274" s="51">
        <v>3</v>
      </c>
      <c r="N274" s="51">
        <v>2</v>
      </c>
      <c r="O274" s="52">
        <v>5.5</v>
      </c>
      <c r="P274" s="51">
        <v>1</v>
      </c>
      <c r="Q274" s="51">
        <v>5</v>
      </c>
      <c r="R274" s="51">
        <v>2</v>
      </c>
      <c r="S274" s="57" t="s">
        <v>295</v>
      </c>
      <c r="T274" s="51" t="s">
        <v>94</v>
      </c>
      <c r="U274" s="51">
        <v>1</v>
      </c>
      <c r="V274" s="51">
        <v>10</v>
      </c>
      <c r="W274" s="51">
        <v>3</v>
      </c>
      <c r="X274" s="51" t="s">
        <v>40</v>
      </c>
      <c r="Y274" s="57" t="s">
        <v>181</v>
      </c>
      <c r="Z274" s="58">
        <v>100.5</v>
      </c>
      <c r="AA274" s="57" t="s">
        <v>270</v>
      </c>
      <c r="AB274" s="59">
        <f t="shared" si="4"/>
        <v>45953</v>
      </c>
    </row>
    <row r="275" spans="1:28" ht="12.75">
      <c r="A275" s="56">
        <v>45953.402551597217</v>
      </c>
      <c r="B275" s="51" t="s">
        <v>473</v>
      </c>
      <c r="C275" s="51" t="s">
        <v>29</v>
      </c>
      <c r="D275" s="51" t="s">
        <v>30</v>
      </c>
      <c r="E275" s="51" t="s">
        <v>31</v>
      </c>
      <c r="F275" s="51" t="s">
        <v>53</v>
      </c>
      <c r="G275" s="51" t="s">
        <v>54</v>
      </c>
      <c r="H275" s="51">
        <v>24</v>
      </c>
      <c r="I275" s="51" t="s">
        <v>34</v>
      </c>
      <c r="J275" s="51" t="s">
        <v>108</v>
      </c>
      <c r="K275" s="51" t="s">
        <v>36</v>
      </c>
      <c r="L275" s="51" t="s">
        <v>68</v>
      </c>
      <c r="M275" s="51">
        <v>3</v>
      </c>
      <c r="N275" s="51">
        <v>2</v>
      </c>
      <c r="O275" s="52">
        <v>7.5</v>
      </c>
      <c r="P275" s="51">
        <v>1</v>
      </c>
      <c r="Q275" s="51">
        <v>5</v>
      </c>
      <c r="R275" s="51">
        <v>3</v>
      </c>
      <c r="S275" s="57" t="s">
        <v>75</v>
      </c>
      <c r="T275" s="51" t="s">
        <v>39</v>
      </c>
      <c r="U275" s="51">
        <v>3</v>
      </c>
      <c r="V275" s="51">
        <v>10</v>
      </c>
      <c r="W275" s="51">
        <v>2</v>
      </c>
      <c r="X275" s="51" t="s">
        <v>40</v>
      </c>
      <c r="Y275" s="57" t="s">
        <v>65</v>
      </c>
      <c r="Z275" s="58">
        <v>13.99</v>
      </c>
      <c r="AA275" s="57" t="s">
        <v>285</v>
      </c>
      <c r="AB275" s="59">
        <f t="shared" si="4"/>
        <v>45953</v>
      </c>
    </row>
    <row r="276" spans="1:28" ht="12.75">
      <c r="A276" s="56">
        <v>45953.417082361106</v>
      </c>
      <c r="B276" s="51" t="s">
        <v>474</v>
      </c>
      <c r="C276" s="51" t="s">
        <v>29</v>
      </c>
      <c r="D276" s="51" t="s">
        <v>30</v>
      </c>
      <c r="E276" s="51" t="s">
        <v>31</v>
      </c>
      <c r="F276" s="51" t="s">
        <v>53</v>
      </c>
      <c r="G276" s="51" t="s">
        <v>54</v>
      </c>
      <c r="H276" s="51">
        <v>24</v>
      </c>
      <c r="I276" s="51" t="s">
        <v>34</v>
      </c>
      <c r="J276" s="51" t="s">
        <v>89</v>
      </c>
      <c r="K276" s="51" t="s">
        <v>36</v>
      </c>
      <c r="L276" s="51" t="s">
        <v>37</v>
      </c>
      <c r="M276" s="51">
        <v>2</v>
      </c>
      <c r="N276" s="51">
        <v>3</v>
      </c>
      <c r="O276" s="52">
        <v>2</v>
      </c>
      <c r="P276" s="51">
        <v>2</v>
      </c>
      <c r="Q276" s="51">
        <v>5</v>
      </c>
      <c r="R276" s="51">
        <v>2</v>
      </c>
      <c r="S276" s="57" t="s">
        <v>207</v>
      </c>
      <c r="T276" s="51" t="s">
        <v>94</v>
      </c>
      <c r="U276" s="51">
        <v>2</v>
      </c>
      <c r="V276" s="51">
        <v>4</v>
      </c>
      <c r="W276" s="51">
        <v>2</v>
      </c>
      <c r="X276" s="51" t="s">
        <v>60</v>
      </c>
      <c r="Y276" s="57" t="s">
        <v>109</v>
      </c>
      <c r="Z276" s="58">
        <v>10.99</v>
      </c>
      <c r="AA276" s="57" t="s">
        <v>42</v>
      </c>
      <c r="AB276" s="59">
        <f t="shared" si="4"/>
        <v>45953</v>
      </c>
    </row>
    <row r="277" spans="1:28" ht="12.75">
      <c r="A277" s="56">
        <v>45953.444506458334</v>
      </c>
      <c r="B277" s="51" t="s">
        <v>475</v>
      </c>
      <c r="C277" s="51" t="s">
        <v>29</v>
      </c>
      <c r="D277" s="51" t="s">
        <v>30</v>
      </c>
      <c r="E277" s="51" t="s">
        <v>31</v>
      </c>
      <c r="F277" s="51" t="s">
        <v>53</v>
      </c>
      <c r="G277" s="51" t="s">
        <v>54</v>
      </c>
      <c r="H277" s="51">
        <v>24</v>
      </c>
      <c r="I277" s="51" t="s">
        <v>34</v>
      </c>
      <c r="J277" s="51" t="s">
        <v>108</v>
      </c>
      <c r="K277" s="51" t="s">
        <v>36</v>
      </c>
      <c r="L277" s="51" t="s">
        <v>100</v>
      </c>
      <c r="M277" s="51">
        <v>3</v>
      </c>
      <c r="N277" s="51">
        <v>3</v>
      </c>
      <c r="O277" s="52">
        <v>15.5</v>
      </c>
      <c r="P277" s="51">
        <v>1</v>
      </c>
      <c r="Q277" s="51">
        <v>5</v>
      </c>
      <c r="R277" s="51">
        <v>4</v>
      </c>
      <c r="S277" s="57" t="s">
        <v>132</v>
      </c>
      <c r="T277" s="51" t="s">
        <v>94</v>
      </c>
      <c r="U277" s="51">
        <v>2</v>
      </c>
      <c r="V277" s="51">
        <v>7</v>
      </c>
      <c r="W277" s="51">
        <v>3</v>
      </c>
      <c r="X277" s="51" t="s">
        <v>50</v>
      </c>
      <c r="Y277" s="57" t="s">
        <v>106</v>
      </c>
      <c r="Z277" s="58">
        <v>20.5</v>
      </c>
      <c r="AA277" s="57" t="s">
        <v>202</v>
      </c>
      <c r="AB277" s="59">
        <f t="shared" si="4"/>
        <v>45953</v>
      </c>
    </row>
    <row r="278" spans="1:28" ht="12.75">
      <c r="A278" s="56">
        <v>45953.526986655095</v>
      </c>
      <c r="B278" s="51" t="s">
        <v>476</v>
      </c>
      <c r="C278" s="51" t="s">
        <v>29</v>
      </c>
      <c r="D278" s="51" t="s">
        <v>30</v>
      </c>
      <c r="E278" s="51" t="s">
        <v>31</v>
      </c>
      <c r="F278" s="51" t="s">
        <v>53</v>
      </c>
      <c r="G278" s="51" t="s">
        <v>54</v>
      </c>
      <c r="H278" s="51">
        <v>24</v>
      </c>
      <c r="I278" s="51" t="s">
        <v>34</v>
      </c>
      <c r="J278" s="51" t="s">
        <v>89</v>
      </c>
      <c r="K278" s="51" t="s">
        <v>36</v>
      </c>
      <c r="L278" s="51" t="s">
        <v>68</v>
      </c>
      <c r="M278" s="51">
        <v>3</v>
      </c>
      <c r="N278" s="51">
        <v>2</v>
      </c>
      <c r="O278" s="52">
        <v>14.75</v>
      </c>
      <c r="P278" s="51">
        <v>1</v>
      </c>
      <c r="Q278" s="51">
        <v>4</v>
      </c>
      <c r="R278" s="51">
        <v>2</v>
      </c>
      <c r="S278" s="57" t="s">
        <v>135</v>
      </c>
      <c r="T278" s="51" t="s">
        <v>39</v>
      </c>
      <c r="U278" s="51">
        <v>4</v>
      </c>
      <c r="V278" s="51">
        <v>7</v>
      </c>
      <c r="W278" s="51">
        <v>2</v>
      </c>
      <c r="X278" s="51" t="s">
        <v>40</v>
      </c>
      <c r="Y278" s="57" t="s">
        <v>272</v>
      </c>
      <c r="Z278" s="58">
        <v>250.9</v>
      </c>
      <c r="AA278" s="57" t="s">
        <v>427</v>
      </c>
      <c r="AB278" s="59">
        <f t="shared" si="4"/>
        <v>45953</v>
      </c>
    </row>
    <row r="279" spans="1:28" ht="12.75">
      <c r="A279" s="56">
        <v>45953.590091770835</v>
      </c>
      <c r="B279" s="51" t="s">
        <v>477</v>
      </c>
      <c r="C279" s="51" t="s">
        <v>29</v>
      </c>
      <c r="D279" s="51" t="s">
        <v>30</v>
      </c>
      <c r="E279" s="51" t="s">
        <v>31</v>
      </c>
      <c r="F279" s="51" t="s">
        <v>53</v>
      </c>
      <c r="G279" s="51" t="s">
        <v>54</v>
      </c>
      <c r="H279" s="51">
        <v>24</v>
      </c>
      <c r="I279" s="51" t="s">
        <v>34</v>
      </c>
      <c r="J279" s="51" t="s">
        <v>46</v>
      </c>
      <c r="K279" s="51" t="s">
        <v>36</v>
      </c>
      <c r="L279" s="51" t="s">
        <v>37</v>
      </c>
      <c r="M279" s="51">
        <v>1</v>
      </c>
      <c r="N279" s="51">
        <v>1</v>
      </c>
      <c r="O279" s="52">
        <v>1</v>
      </c>
      <c r="P279" s="51">
        <v>0</v>
      </c>
      <c r="Q279" s="51">
        <v>1</v>
      </c>
      <c r="R279" s="51">
        <v>1</v>
      </c>
      <c r="S279" s="57" t="s">
        <v>86</v>
      </c>
      <c r="T279" s="51" t="s">
        <v>49</v>
      </c>
      <c r="U279" s="51">
        <v>0</v>
      </c>
      <c r="V279" s="51">
        <v>7</v>
      </c>
      <c r="W279" s="51">
        <v>1</v>
      </c>
      <c r="X279" s="51" t="s">
        <v>40</v>
      </c>
      <c r="Y279" s="57" t="s">
        <v>118</v>
      </c>
      <c r="Z279" s="58">
        <v>15.99</v>
      </c>
      <c r="AA279" s="57" t="s">
        <v>139</v>
      </c>
      <c r="AB279" s="59">
        <f t="shared" si="4"/>
        <v>45953</v>
      </c>
    </row>
    <row r="280" spans="1:28" ht="12.75">
      <c r="A280" s="56">
        <v>45953.604320717597</v>
      </c>
      <c r="B280" s="51" t="s">
        <v>478</v>
      </c>
      <c r="C280" s="51" t="s">
        <v>29</v>
      </c>
      <c r="D280" s="51" t="s">
        <v>30</v>
      </c>
      <c r="E280" s="51" t="s">
        <v>31</v>
      </c>
      <c r="F280" s="51" t="s">
        <v>53</v>
      </c>
      <c r="G280" s="51" t="s">
        <v>33</v>
      </c>
      <c r="H280" s="51">
        <v>24</v>
      </c>
      <c r="I280" s="51" t="s">
        <v>34</v>
      </c>
      <c r="J280" s="51" t="s">
        <v>89</v>
      </c>
      <c r="K280" s="51" t="s">
        <v>36</v>
      </c>
      <c r="L280" s="51" t="s">
        <v>100</v>
      </c>
      <c r="M280" s="51">
        <v>1</v>
      </c>
      <c r="N280" s="51">
        <v>1</v>
      </c>
      <c r="O280" s="52">
        <v>1</v>
      </c>
      <c r="P280" s="51">
        <v>0</v>
      </c>
      <c r="Q280" s="51">
        <v>3</v>
      </c>
      <c r="R280" s="51">
        <v>3</v>
      </c>
      <c r="S280" s="57" t="s">
        <v>135</v>
      </c>
      <c r="T280" s="51" t="s">
        <v>39</v>
      </c>
      <c r="U280" s="51">
        <v>1</v>
      </c>
      <c r="V280" s="51">
        <v>10</v>
      </c>
      <c r="W280" s="51">
        <v>2</v>
      </c>
      <c r="X280" s="51" t="s">
        <v>60</v>
      </c>
      <c r="Y280" s="57" t="s">
        <v>65</v>
      </c>
      <c r="Z280" s="58">
        <v>200.6</v>
      </c>
      <c r="AA280" s="57" t="s">
        <v>139</v>
      </c>
      <c r="AB280" s="59">
        <f t="shared" si="4"/>
        <v>45953</v>
      </c>
    </row>
    <row r="281" spans="1:28" ht="12.75">
      <c r="A281" s="56">
        <v>45953.666982002316</v>
      </c>
      <c r="B281" s="51" t="s">
        <v>479</v>
      </c>
      <c r="C281" s="51" t="s">
        <v>29</v>
      </c>
      <c r="D281" s="51" t="s">
        <v>30</v>
      </c>
      <c r="E281" s="51" t="s">
        <v>31</v>
      </c>
      <c r="F281" s="51" t="s">
        <v>32</v>
      </c>
      <c r="G281" s="51" t="s">
        <v>54</v>
      </c>
      <c r="H281" s="51">
        <v>24</v>
      </c>
      <c r="I281" s="51" t="s">
        <v>99</v>
      </c>
      <c r="J281" s="51" t="s">
        <v>64</v>
      </c>
      <c r="K281" s="51" t="s">
        <v>36</v>
      </c>
      <c r="L281" s="51" t="s">
        <v>37</v>
      </c>
      <c r="M281" s="51">
        <v>5</v>
      </c>
      <c r="N281" s="51">
        <v>5</v>
      </c>
      <c r="O281" s="52">
        <v>96</v>
      </c>
      <c r="P281" s="51">
        <v>2</v>
      </c>
      <c r="Q281" s="51">
        <v>5</v>
      </c>
      <c r="R281" s="51">
        <v>5</v>
      </c>
      <c r="S281" s="57" t="s">
        <v>259</v>
      </c>
      <c r="T281" s="51" t="s">
        <v>102</v>
      </c>
      <c r="U281" s="51">
        <v>9</v>
      </c>
      <c r="V281" s="51">
        <v>10</v>
      </c>
      <c r="W281" s="51">
        <v>2</v>
      </c>
      <c r="X281" s="51" t="s">
        <v>50</v>
      </c>
      <c r="Y281" s="57" t="s">
        <v>95</v>
      </c>
      <c r="Z281" s="58">
        <v>80</v>
      </c>
      <c r="AA281" s="57" t="s">
        <v>139</v>
      </c>
      <c r="AB281" s="59">
        <f t="shared" si="4"/>
        <v>45953</v>
      </c>
    </row>
    <row r="282" spans="1:28" ht="12.75">
      <c r="A282" s="56">
        <v>45953.732702974536</v>
      </c>
      <c r="B282" s="51" t="s">
        <v>480</v>
      </c>
      <c r="C282" s="51" t="s">
        <v>29</v>
      </c>
      <c r="D282" s="51" t="s">
        <v>30</v>
      </c>
      <c r="E282" s="51" t="s">
        <v>31</v>
      </c>
      <c r="F282" s="51" t="s">
        <v>53</v>
      </c>
      <c r="G282" s="51" t="s">
        <v>33</v>
      </c>
      <c r="H282" s="51">
        <v>24</v>
      </c>
      <c r="I282" s="51" t="s">
        <v>34</v>
      </c>
      <c r="J282" s="51" t="s">
        <v>46</v>
      </c>
      <c r="K282" s="51" t="s">
        <v>36</v>
      </c>
      <c r="L282" s="51" t="s">
        <v>37</v>
      </c>
      <c r="M282" s="51">
        <v>2</v>
      </c>
      <c r="N282" s="51">
        <v>1</v>
      </c>
      <c r="O282" s="52">
        <v>7.5</v>
      </c>
      <c r="P282" s="51">
        <v>1</v>
      </c>
      <c r="Q282" s="51">
        <v>4</v>
      </c>
      <c r="R282" s="51">
        <v>3</v>
      </c>
      <c r="S282" s="57" t="s">
        <v>146</v>
      </c>
      <c r="T282" s="51" t="s">
        <v>49</v>
      </c>
      <c r="U282" s="51">
        <v>3</v>
      </c>
      <c r="V282" s="51">
        <v>9</v>
      </c>
      <c r="W282" s="51">
        <v>2</v>
      </c>
      <c r="X282" s="51" t="s">
        <v>50</v>
      </c>
      <c r="Y282" s="57" t="s">
        <v>118</v>
      </c>
      <c r="Z282" s="58">
        <v>25.8</v>
      </c>
      <c r="AA282" s="57" t="s">
        <v>114</v>
      </c>
      <c r="AB282" s="59">
        <f t="shared" si="4"/>
        <v>45953</v>
      </c>
    </row>
    <row r="283" spans="1:28" ht="12.75">
      <c r="A283" s="56">
        <v>45953.819058715279</v>
      </c>
      <c r="B283" s="51" t="s">
        <v>481</v>
      </c>
      <c r="C283" s="51" t="s">
        <v>29</v>
      </c>
      <c r="D283" s="51" t="s">
        <v>30</v>
      </c>
      <c r="E283" s="51" t="s">
        <v>31</v>
      </c>
      <c r="F283" s="51" t="s">
        <v>32</v>
      </c>
      <c r="G283" s="51" t="s">
        <v>54</v>
      </c>
      <c r="H283" s="51">
        <v>24</v>
      </c>
      <c r="I283" s="51" t="s">
        <v>34</v>
      </c>
      <c r="J283" s="51" t="s">
        <v>64</v>
      </c>
      <c r="K283" s="51" t="s">
        <v>36</v>
      </c>
      <c r="L283" s="51" t="s">
        <v>113</v>
      </c>
      <c r="M283" s="51">
        <v>3</v>
      </c>
      <c r="N283" s="51">
        <v>4</v>
      </c>
      <c r="O283" s="52">
        <v>7</v>
      </c>
      <c r="P283" s="51">
        <v>3</v>
      </c>
      <c r="Q283" s="51">
        <v>4</v>
      </c>
      <c r="R283" s="51">
        <v>5</v>
      </c>
      <c r="S283" s="57" t="s">
        <v>259</v>
      </c>
      <c r="T283" s="51" t="s">
        <v>39</v>
      </c>
      <c r="U283" s="51">
        <v>12</v>
      </c>
      <c r="V283" s="51">
        <v>9</v>
      </c>
      <c r="W283" s="51">
        <v>1</v>
      </c>
      <c r="X283" s="51" t="s">
        <v>40</v>
      </c>
      <c r="Y283" s="57" t="s">
        <v>95</v>
      </c>
      <c r="Z283" s="58">
        <v>15</v>
      </c>
      <c r="AA283" s="57" t="s">
        <v>277</v>
      </c>
      <c r="AB283" s="59">
        <f t="shared" si="4"/>
        <v>45953</v>
      </c>
    </row>
    <row r="284" spans="1:28" ht="12.75">
      <c r="A284" s="56">
        <v>45954.412741874999</v>
      </c>
      <c r="B284" s="51" t="s">
        <v>482</v>
      </c>
      <c r="C284" s="51" t="s">
        <v>29</v>
      </c>
      <c r="D284" s="51" t="s">
        <v>30</v>
      </c>
      <c r="E284" s="51" t="s">
        <v>31</v>
      </c>
      <c r="F284" s="51" t="s">
        <v>44</v>
      </c>
      <c r="G284" s="51" t="s">
        <v>54</v>
      </c>
      <c r="H284" s="51">
        <v>24</v>
      </c>
      <c r="I284" s="51" t="s">
        <v>99</v>
      </c>
      <c r="J284" s="51" t="s">
        <v>35</v>
      </c>
      <c r="K284" s="51" t="s">
        <v>36</v>
      </c>
      <c r="L284" s="51" t="s">
        <v>68</v>
      </c>
      <c r="M284" s="51">
        <v>2</v>
      </c>
      <c r="N284" s="51">
        <v>2</v>
      </c>
      <c r="O284" s="52">
        <v>4</v>
      </c>
      <c r="P284" s="51">
        <v>0</v>
      </c>
      <c r="Q284" s="51">
        <v>5</v>
      </c>
      <c r="R284" s="51">
        <v>5</v>
      </c>
      <c r="S284" s="57" t="s">
        <v>38</v>
      </c>
      <c r="T284" s="51" t="s">
        <v>39</v>
      </c>
      <c r="U284" s="51">
        <v>3</v>
      </c>
      <c r="V284" s="51">
        <v>10</v>
      </c>
      <c r="W284" s="51">
        <v>1</v>
      </c>
      <c r="X284" s="51" t="s">
        <v>50</v>
      </c>
      <c r="Y284" s="57" t="s">
        <v>348</v>
      </c>
      <c r="Z284" s="58">
        <v>25</v>
      </c>
      <c r="AA284" s="57" t="s">
        <v>57</v>
      </c>
      <c r="AB284" s="59">
        <f t="shared" si="4"/>
        <v>45954</v>
      </c>
    </row>
    <row r="285" spans="1:28" ht="12.75">
      <c r="A285" s="56">
        <v>45954.424033518517</v>
      </c>
      <c r="B285" s="51" t="s">
        <v>483</v>
      </c>
      <c r="C285" s="51" t="s">
        <v>29</v>
      </c>
      <c r="D285" s="51" t="s">
        <v>30</v>
      </c>
      <c r="E285" s="51" t="s">
        <v>31</v>
      </c>
      <c r="F285" s="51" t="s">
        <v>44</v>
      </c>
      <c r="G285" s="51" t="s">
        <v>54</v>
      </c>
      <c r="H285" s="51">
        <v>24</v>
      </c>
      <c r="I285" s="51" t="s">
        <v>45</v>
      </c>
      <c r="J285" s="51" t="s">
        <v>46</v>
      </c>
      <c r="K285" s="51" t="s">
        <v>36</v>
      </c>
      <c r="L285" s="51" t="s">
        <v>37</v>
      </c>
      <c r="M285" s="51">
        <v>3</v>
      </c>
      <c r="N285" s="51">
        <v>3</v>
      </c>
      <c r="O285" s="52">
        <v>10</v>
      </c>
      <c r="P285" s="51">
        <v>0</v>
      </c>
      <c r="Q285" s="51">
        <v>5</v>
      </c>
      <c r="R285" s="51">
        <v>5</v>
      </c>
      <c r="S285" s="57" t="s">
        <v>249</v>
      </c>
      <c r="T285" s="51" t="s">
        <v>94</v>
      </c>
      <c r="U285" s="51">
        <v>10</v>
      </c>
      <c r="V285" s="51">
        <v>10</v>
      </c>
      <c r="W285" s="51">
        <v>2</v>
      </c>
      <c r="X285" s="51" t="s">
        <v>50</v>
      </c>
      <c r="Y285" s="57" t="s">
        <v>95</v>
      </c>
      <c r="Z285" s="58">
        <v>20</v>
      </c>
      <c r="AA285" s="57" t="s">
        <v>190</v>
      </c>
      <c r="AB285" s="59">
        <f t="shared" si="4"/>
        <v>45954</v>
      </c>
    </row>
    <row r="286" spans="1:28" ht="12.75">
      <c r="A286" s="56">
        <v>45954.465932094907</v>
      </c>
      <c r="B286" s="51" t="s">
        <v>484</v>
      </c>
      <c r="C286" s="51" t="s">
        <v>29</v>
      </c>
      <c r="D286" s="51" t="s">
        <v>30</v>
      </c>
      <c r="E286" s="51" t="s">
        <v>31</v>
      </c>
      <c r="F286" s="51" t="s">
        <v>44</v>
      </c>
      <c r="G286" s="51" t="s">
        <v>33</v>
      </c>
      <c r="H286" s="51">
        <v>24</v>
      </c>
      <c r="I286" s="51" t="s">
        <v>34</v>
      </c>
      <c r="J286" s="51" t="s">
        <v>46</v>
      </c>
      <c r="K286" s="51" t="s">
        <v>36</v>
      </c>
      <c r="L286" s="51" t="s">
        <v>74</v>
      </c>
      <c r="M286" s="51">
        <v>2</v>
      </c>
      <c r="N286" s="51">
        <v>2</v>
      </c>
      <c r="O286" s="52">
        <v>2</v>
      </c>
      <c r="P286" s="51">
        <v>0</v>
      </c>
      <c r="Q286" s="51">
        <v>4</v>
      </c>
      <c r="R286" s="51">
        <v>4</v>
      </c>
      <c r="S286" s="57" t="s">
        <v>38</v>
      </c>
      <c r="T286" s="51" t="s">
        <v>49</v>
      </c>
      <c r="U286" s="51">
        <v>2</v>
      </c>
      <c r="V286" s="51">
        <v>8</v>
      </c>
      <c r="W286" s="51">
        <v>3</v>
      </c>
      <c r="X286" s="51" t="s">
        <v>50</v>
      </c>
      <c r="Y286" s="57" t="s">
        <v>133</v>
      </c>
      <c r="Z286" s="58">
        <v>10</v>
      </c>
      <c r="AA286" s="57" t="s">
        <v>122</v>
      </c>
      <c r="AB286" s="59">
        <f t="shared" si="4"/>
        <v>45954</v>
      </c>
    </row>
    <row r="287" spans="1:28" ht="12.75">
      <c r="A287" s="56">
        <v>45954.490727407407</v>
      </c>
      <c r="B287" s="51" t="s">
        <v>485</v>
      </c>
      <c r="C287" s="51" t="s">
        <v>29</v>
      </c>
      <c r="D287" s="51" t="s">
        <v>30</v>
      </c>
      <c r="E287" s="51" t="s">
        <v>31</v>
      </c>
      <c r="F287" s="51" t="s">
        <v>44</v>
      </c>
      <c r="G287" s="51" t="s">
        <v>54</v>
      </c>
      <c r="H287" s="51">
        <v>24</v>
      </c>
      <c r="I287" s="51" t="s">
        <v>99</v>
      </c>
      <c r="J287" s="51" t="s">
        <v>35</v>
      </c>
      <c r="K287" s="51" t="s">
        <v>36</v>
      </c>
      <c r="L287" s="51" t="s">
        <v>68</v>
      </c>
      <c r="M287" s="51">
        <v>4</v>
      </c>
      <c r="N287" s="51">
        <v>3</v>
      </c>
      <c r="O287" s="52">
        <v>5</v>
      </c>
      <c r="P287" s="51">
        <v>2</v>
      </c>
      <c r="Q287" s="51">
        <v>5</v>
      </c>
      <c r="R287" s="51">
        <v>5</v>
      </c>
      <c r="S287" s="57" t="s">
        <v>355</v>
      </c>
      <c r="T287" s="51" t="s">
        <v>39</v>
      </c>
      <c r="U287" s="51">
        <v>4</v>
      </c>
      <c r="V287" s="51">
        <v>10</v>
      </c>
      <c r="W287" s="51">
        <v>3</v>
      </c>
      <c r="X287" s="51" t="s">
        <v>69</v>
      </c>
      <c r="Y287" s="57" t="s">
        <v>82</v>
      </c>
      <c r="Z287" s="58">
        <v>30</v>
      </c>
      <c r="AA287" s="57" t="s">
        <v>57</v>
      </c>
      <c r="AB287" s="59">
        <f t="shared" si="4"/>
        <v>45954</v>
      </c>
    </row>
    <row r="288" spans="1:28" ht="12.75">
      <c r="A288" s="56">
        <v>45954.511471018515</v>
      </c>
      <c r="B288" s="51" t="s">
        <v>486</v>
      </c>
      <c r="C288" s="51" t="s">
        <v>29</v>
      </c>
      <c r="D288" s="51" t="s">
        <v>30</v>
      </c>
      <c r="E288" s="51" t="s">
        <v>31</v>
      </c>
      <c r="F288" s="51" t="s">
        <v>44</v>
      </c>
      <c r="G288" s="51" t="s">
        <v>54</v>
      </c>
      <c r="H288" s="51">
        <v>24</v>
      </c>
      <c r="I288" s="51" t="s">
        <v>99</v>
      </c>
      <c r="J288" s="51" t="s">
        <v>35</v>
      </c>
      <c r="K288" s="51" t="s">
        <v>36</v>
      </c>
      <c r="L288" s="51" t="s">
        <v>68</v>
      </c>
      <c r="M288" s="51">
        <v>4</v>
      </c>
      <c r="N288" s="51">
        <v>4</v>
      </c>
      <c r="O288" s="52">
        <v>6</v>
      </c>
      <c r="P288" s="51">
        <v>1</v>
      </c>
      <c r="Q288" s="51">
        <v>5</v>
      </c>
      <c r="R288" s="51">
        <v>5</v>
      </c>
      <c r="S288" s="57" t="s">
        <v>38</v>
      </c>
      <c r="T288" s="51" t="s">
        <v>94</v>
      </c>
      <c r="U288" s="51">
        <v>4</v>
      </c>
      <c r="V288" s="51">
        <v>10</v>
      </c>
      <c r="W288" s="51">
        <v>3</v>
      </c>
      <c r="X288" s="51" t="s">
        <v>69</v>
      </c>
      <c r="Y288" s="57" t="s">
        <v>106</v>
      </c>
      <c r="Z288" s="58">
        <v>30</v>
      </c>
      <c r="AA288" s="57" t="s">
        <v>83</v>
      </c>
      <c r="AB288" s="59">
        <f t="shared" si="4"/>
        <v>45954</v>
      </c>
    </row>
    <row r="289" spans="1:28" ht="12.75">
      <c r="A289" s="56">
        <v>45954.5365446875</v>
      </c>
      <c r="B289" s="51" t="s">
        <v>487</v>
      </c>
      <c r="C289" s="51" t="s">
        <v>29</v>
      </c>
      <c r="D289" s="51" t="s">
        <v>30</v>
      </c>
      <c r="E289" s="51" t="s">
        <v>31</v>
      </c>
      <c r="F289" s="51" t="s">
        <v>44</v>
      </c>
      <c r="G289" s="51" t="s">
        <v>54</v>
      </c>
      <c r="H289" s="51">
        <v>24</v>
      </c>
      <c r="I289" s="51" t="s">
        <v>34</v>
      </c>
      <c r="J289" s="51" t="s">
        <v>35</v>
      </c>
      <c r="K289" s="51" t="s">
        <v>36</v>
      </c>
      <c r="L289" s="51" t="s">
        <v>68</v>
      </c>
      <c r="M289" s="51">
        <v>4</v>
      </c>
      <c r="N289" s="51">
        <v>3</v>
      </c>
      <c r="O289" s="52">
        <v>5</v>
      </c>
      <c r="P289" s="51">
        <v>1</v>
      </c>
      <c r="Q289" s="51">
        <v>5</v>
      </c>
      <c r="R289" s="51">
        <v>5</v>
      </c>
      <c r="S289" s="57" t="s">
        <v>141</v>
      </c>
      <c r="T289" s="51" t="s">
        <v>39</v>
      </c>
      <c r="U289" s="51">
        <v>3</v>
      </c>
      <c r="V289" s="51">
        <v>10</v>
      </c>
      <c r="W289" s="51">
        <v>3</v>
      </c>
      <c r="X289" s="51" t="s">
        <v>69</v>
      </c>
      <c r="Y289" s="57" t="s">
        <v>272</v>
      </c>
      <c r="Z289" s="58">
        <v>30</v>
      </c>
      <c r="AA289" s="57" t="s">
        <v>42</v>
      </c>
      <c r="AB289" s="59">
        <f t="shared" si="4"/>
        <v>45954</v>
      </c>
    </row>
    <row r="290" spans="1:28" ht="12.75">
      <c r="A290" s="56">
        <v>45954.551935057869</v>
      </c>
      <c r="B290" s="51" t="s">
        <v>488</v>
      </c>
      <c r="C290" s="51" t="s">
        <v>29</v>
      </c>
      <c r="D290" s="51" t="s">
        <v>30</v>
      </c>
      <c r="E290" s="51" t="s">
        <v>31</v>
      </c>
      <c r="F290" s="51" t="s">
        <v>44</v>
      </c>
      <c r="G290" s="51" t="s">
        <v>54</v>
      </c>
      <c r="H290" s="51">
        <v>24</v>
      </c>
      <c r="I290" s="51" t="s">
        <v>324</v>
      </c>
      <c r="J290" s="51" t="s">
        <v>79</v>
      </c>
      <c r="K290" s="51" t="s">
        <v>36</v>
      </c>
      <c r="L290" s="51" t="s">
        <v>68</v>
      </c>
      <c r="M290" s="51">
        <v>4</v>
      </c>
      <c r="N290" s="51">
        <v>3</v>
      </c>
      <c r="O290" s="52">
        <v>5</v>
      </c>
      <c r="P290" s="51">
        <v>1</v>
      </c>
      <c r="Q290" s="51">
        <v>5</v>
      </c>
      <c r="R290" s="51">
        <v>5</v>
      </c>
      <c r="S290" s="57" t="s">
        <v>207</v>
      </c>
      <c r="T290" s="51" t="s">
        <v>39</v>
      </c>
      <c r="U290" s="51">
        <v>4</v>
      </c>
      <c r="V290" s="51">
        <v>10</v>
      </c>
      <c r="W290" s="51">
        <v>3</v>
      </c>
      <c r="X290" s="51" t="s">
        <v>69</v>
      </c>
      <c r="Y290" s="57" t="s">
        <v>65</v>
      </c>
      <c r="Z290" s="58">
        <v>30</v>
      </c>
      <c r="AA290" s="57" t="s">
        <v>77</v>
      </c>
      <c r="AB290" s="59">
        <f t="shared" si="4"/>
        <v>45954</v>
      </c>
    </row>
    <row r="291" spans="1:28" ht="12.75">
      <c r="A291" s="56">
        <v>45954.570714259258</v>
      </c>
      <c r="B291" s="51" t="s">
        <v>489</v>
      </c>
      <c r="C291" s="51" t="s">
        <v>29</v>
      </c>
      <c r="D291" s="51" t="s">
        <v>30</v>
      </c>
      <c r="E291" s="51" t="s">
        <v>31</v>
      </c>
      <c r="F291" s="51" t="s">
        <v>44</v>
      </c>
      <c r="G291" s="51" t="s">
        <v>54</v>
      </c>
      <c r="H291" s="51">
        <v>24</v>
      </c>
      <c r="I291" s="51" t="s">
        <v>99</v>
      </c>
      <c r="J291" s="51" t="s">
        <v>35</v>
      </c>
      <c r="K291" s="51" t="s">
        <v>36</v>
      </c>
      <c r="L291" s="51" t="s">
        <v>68</v>
      </c>
      <c r="M291" s="51">
        <v>4</v>
      </c>
      <c r="N291" s="51">
        <v>3</v>
      </c>
      <c r="O291" s="52">
        <v>6</v>
      </c>
      <c r="P291" s="51">
        <v>2</v>
      </c>
      <c r="Q291" s="51">
        <v>5</v>
      </c>
      <c r="R291" s="51">
        <v>5</v>
      </c>
      <c r="S291" s="57" t="s">
        <v>38</v>
      </c>
      <c r="T291" s="51" t="s">
        <v>39</v>
      </c>
      <c r="U291" s="51">
        <v>3</v>
      </c>
      <c r="V291" s="51">
        <v>10</v>
      </c>
      <c r="W291" s="51">
        <v>3</v>
      </c>
      <c r="X291" s="51" t="s">
        <v>69</v>
      </c>
      <c r="Y291" s="57" t="s">
        <v>181</v>
      </c>
      <c r="Z291" s="58">
        <v>25</v>
      </c>
      <c r="AA291" s="57" t="s">
        <v>122</v>
      </c>
      <c r="AB291" s="59">
        <f t="shared" si="4"/>
        <v>45954</v>
      </c>
    </row>
    <row r="292" spans="1:28" ht="12.75">
      <c r="A292" s="56">
        <v>45954.59348815972</v>
      </c>
      <c r="B292" s="51" t="s">
        <v>490</v>
      </c>
      <c r="C292" s="51" t="s">
        <v>29</v>
      </c>
      <c r="D292" s="51" t="s">
        <v>30</v>
      </c>
      <c r="E292" s="51" t="s">
        <v>31</v>
      </c>
      <c r="F292" s="51" t="s">
        <v>44</v>
      </c>
      <c r="G292" s="51" t="s">
        <v>33</v>
      </c>
      <c r="H292" s="51">
        <v>24</v>
      </c>
      <c r="I292" s="51" t="s">
        <v>34</v>
      </c>
      <c r="J292" s="51" t="s">
        <v>35</v>
      </c>
      <c r="K292" s="51" t="s">
        <v>36</v>
      </c>
      <c r="L292" s="51" t="s">
        <v>37</v>
      </c>
      <c r="M292" s="51">
        <v>3</v>
      </c>
      <c r="N292" s="51">
        <v>2</v>
      </c>
      <c r="O292" s="52">
        <v>3</v>
      </c>
      <c r="P292" s="51">
        <v>1</v>
      </c>
      <c r="Q292" s="51">
        <v>2</v>
      </c>
      <c r="R292" s="51">
        <v>2</v>
      </c>
      <c r="S292" s="57" t="s">
        <v>48</v>
      </c>
      <c r="T292" s="51" t="s">
        <v>49</v>
      </c>
      <c r="U292" s="51">
        <v>0</v>
      </c>
      <c r="V292" s="51">
        <v>10</v>
      </c>
      <c r="W292" s="51">
        <v>2</v>
      </c>
      <c r="X292" s="51" t="s">
        <v>40</v>
      </c>
      <c r="Y292" s="57" t="s">
        <v>82</v>
      </c>
      <c r="Z292" s="58">
        <v>0</v>
      </c>
      <c r="AA292" s="57" t="s">
        <v>250</v>
      </c>
      <c r="AB292" s="59">
        <f t="shared" si="4"/>
        <v>45954</v>
      </c>
    </row>
    <row r="293" spans="1:28" ht="12.75">
      <c r="A293" s="56">
        <v>45954.734226817134</v>
      </c>
      <c r="B293" s="51" t="s">
        <v>491</v>
      </c>
      <c r="C293" s="51" t="s">
        <v>29</v>
      </c>
      <c r="D293" s="51" t="s">
        <v>30</v>
      </c>
      <c r="E293" s="51" t="s">
        <v>31</v>
      </c>
      <c r="F293" s="51" t="s">
        <v>44</v>
      </c>
      <c r="G293" s="51" t="s">
        <v>33</v>
      </c>
      <c r="H293" s="51">
        <v>24</v>
      </c>
      <c r="I293" s="51" t="s">
        <v>45</v>
      </c>
      <c r="J293" s="51" t="s">
        <v>46</v>
      </c>
      <c r="K293" s="51" t="s">
        <v>36</v>
      </c>
      <c r="L293" s="51" t="s">
        <v>68</v>
      </c>
      <c r="M293" s="51">
        <v>3</v>
      </c>
      <c r="N293" s="51">
        <v>3</v>
      </c>
      <c r="O293" s="52">
        <v>3</v>
      </c>
      <c r="P293" s="51">
        <v>1</v>
      </c>
      <c r="Q293" s="51">
        <v>5</v>
      </c>
      <c r="R293" s="51">
        <v>5</v>
      </c>
      <c r="S293" s="57" t="s">
        <v>141</v>
      </c>
      <c r="T293" s="51" t="s">
        <v>39</v>
      </c>
      <c r="U293" s="51">
        <v>3</v>
      </c>
      <c r="V293" s="51">
        <v>9</v>
      </c>
      <c r="W293" s="51">
        <v>3</v>
      </c>
      <c r="X293" s="51" t="s">
        <v>50</v>
      </c>
      <c r="Y293" s="57" t="s">
        <v>82</v>
      </c>
      <c r="Z293" s="58">
        <v>20</v>
      </c>
      <c r="AA293" s="57" t="s">
        <v>114</v>
      </c>
      <c r="AB293" s="59">
        <f t="shared" si="4"/>
        <v>45954</v>
      </c>
    </row>
    <row r="294" spans="1:28" ht="12.75">
      <c r="A294" s="56">
        <v>45954.737822337964</v>
      </c>
      <c r="B294" s="51" t="s">
        <v>492</v>
      </c>
      <c r="C294" s="51" t="s">
        <v>29</v>
      </c>
      <c r="D294" s="51" t="s">
        <v>30</v>
      </c>
      <c r="E294" s="51" t="s">
        <v>31</v>
      </c>
      <c r="F294" s="51" t="s">
        <v>85</v>
      </c>
      <c r="G294" s="51" t="s">
        <v>54</v>
      </c>
      <c r="H294" s="51">
        <v>24</v>
      </c>
      <c r="I294" s="51" t="s">
        <v>34</v>
      </c>
      <c r="J294" s="51" t="s">
        <v>35</v>
      </c>
      <c r="K294" s="51" t="s">
        <v>90</v>
      </c>
      <c r="L294" s="51" t="s">
        <v>47</v>
      </c>
      <c r="M294" s="51">
        <v>1</v>
      </c>
      <c r="N294" s="51">
        <v>1</v>
      </c>
      <c r="O294" s="52">
        <v>0</v>
      </c>
      <c r="P294" s="51">
        <v>0</v>
      </c>
      <c r="Q294" s="51">
        <v>3</v>
      </c>
      <c r="R294" s="51">
        <v>3</v>
      </c>
      <c r="S294" s="57" t="s">
        <v>38</v>
      </c>
      <c r="T294" s="51" t="s">
        <v>49</v>
      </c>
      <c r="U294" s="51">
        <v>5</v>
      </c>
      <c r="V294" s="51">
        <v>7</v>
      </c>
      <c r="W294" s="51">
        <v>3</v>
      </c>
      <c r="X294" s="51" t="s">
        <v>50</v>
      </c>
      <c r="Y294" s="57" t="s">
        <v>65</v>
      </c>
      <c r="Z294" s="58">
        <v>25</v>
      </c>
      <c r="AA294" s="57" t="s">
        <v>493</v>
      </c>
      <c r="AB294" s="59">
        <f t="shared" si="4"/>
        <v>45954</v>
      </c>
    </row>
    <row r="295" spans="1:28" ht="12.75">
      <c r="A295" s="56">
        <v>45954.74861461806</v>
      </c>
      <c r="B295" s="51" t="s">
        <v>494</v>
      </c>
      <c r="C295" s="51" t="s">
        <v>29</v>
      </c>
      <c r="D295" s="51" t="s">
        <v>30</v>
      </c>
      <c r="E295" s="51" t="s">
        <v>31</v>
      </c>
      <c r="F295" s="51" t="s">
        <v>85</v>
      </c>
      <c r="G295" s="51" t="s">
        <v>54</v>
      </c>
      <c r="H295" s="51">
        <v>24</v>
      </c>
      <c r="I295" s="51" t="s">
        <v>34</v>
      </c>
      <c r="J295" s="51" t="s">
        <v>108</v>
      </c>
      <c r="K295" s="51" t="s">
        <v>36</v>
      </c>
      <c r="L295" s="51" t="s">
        <v>74</v>
      </c>
      <c r="M295" s="51">
        <v>2</v>
      </c>
      <c r="N295" s="51">
        <v>3</v>
      </c>
      <c r="O295" s="52">
        <v>1.3</v>
      </c>
      <c r="P295" s="51">
        <v>0</v>
      </c>
      <c r="Q295" s="51">
        <v>3</v>
      </c>
      <c r="R295" s="51">
        <v>2</v>
      </c>
      <c r="S295" s="57" t="s">
        <v>125</v>
      </c>
      <c r="T295" s="51" t="s">
        <v>49</v>
      </c>
      <c r="U295" s="51">
        <v>1</v>
      </c>
      <c r="V295" s="51">
        <v>6</v>
      </c>
      <c r="W295" s="51">
        <v>1</v>
      </c>
      <c r="X295" s="51" t="s">
        <v>40</v>
      </c>
      <c r="Y295" s="57" t="s">
        <v>166</v>
      </c>
      <c r="Z295" s="58">
        <v>12</v>
      </c>
      <c r="AA295" s="57" t="s">
        <v>427</v>
      </c>
      <c r="AB295" s="59">
        <f t="shared" si="4"/>
        <v>45954</v>
      </c>
    </row>
    <row r="296" spans="1:28" ht="12.75">
      <c r="A296" s="56">
        <v>45954.750559120366</v>
      </c>
      <c r="B296" s="51" t="s">
        <v>495</v>
      </c>
      <c r="C296" s="51" t="s">
        <v>29</v>
      </c>
      <c r="D296" s="51" t="s">
        <v>30</v>
      </c>
      <c r="E296" s="51" t="s">
        <v>31</v>
      </c>
      <c r="F296" s="51" t="s">
        <v>85</v>
      </c>
      <c r="G296" s="51" t="s">
        <v>54</v>
      </c>
      <c r="H296" s="51">
        <v>24</v>
      </c>
      <c r="I296" s="51" t="s">
        <v>34</v>
      </c>
      <c r="J296" s="51" t="s">
        <v>46</v>
      </c>
      <c r="K296" s="51" t="s">
        <v>36</v>
      </c>
      <c r="L296" s="51" t="s">
        <v>113</v>
      </c>
      <c r="M296" s="51">
        <v>3</v>
      </c>
      <c r="N296" s="51">
        <v>4</v>
      </c>
      <c r="O296" s="52">
        <v>7</v>
      </c>
      <c r="P296" s="51">
        <v>2</v>
      </c>
      <c r="Q296" s="51">
        <v>5</v>
      </c>
      <c r="R296" s="51">
        <v>5</v>
      </c>
      <c r="S296" s="57" t="s">
        <v>141</v>
      </c>
      <c r="T296" s="51" t="s">
        <v>39</v>
      </c>
      <c r="U296" s="51">
        <v>4</v>
      </c>
      <c r="V296" s="51">
        <v>10</v>
      </c>
      <c r="W296" s="51">
        <v>3</v>
      </c>
      <c r="X296" s="51" t="s">
        <v>50</v>
      </c>
      <c r="Y296" s="57" t="s">
        <v>95</v>
      </c>
      <c r="Z296" s="58">
        <v>300</v>
      </c>
      <c r="AA296" s="57" t="s">
        <v>250</v>
      </c>
      <c r="AB296" s="59">
        <f t="shared" si="4"/>
        <v>45954</v>
      </c>
    </row>
    <row r="297" spans="1:28" ht="12.75">
      <c r="A297" s="56">
        <v>45954.762953645833</v>
      </c>
      <c r="B297" s="51" t="s">
        <v>496</v>
      </c>
      <c r="C297" s="51" t="s">
        <v>29</v>
      </c>
      <c r="D297" s="51" t="s">
        <v>30</v>
      </c>
      <c r="E297" s="51" t="s">
        <v>31</v>
      </c>
      <c r="F297" s="51" t="s">
        <v>44</v>
      </c>
      <c r="G297" s="51" t="s">
        <v>54</v>
      </c>
      <c r="H297" s="51">
        <v>24</v>
      </c>
      <c r="I297" s="51" t="s">
        <v>45</v>
      </c>
      <c r="J297" s="51" t="s">
        <v>64</v>
      </c>
      <c r="K297" s="51" t="s">
        <v>36</v>
      </c>
      <c r="L297" s="51" t="s">
        <v>68</v>
      </c>
      <c r="M297" s="51">
        <v>3</v>
      </c>
      <c r="N297" s="51">
        <v>3</v>
      </c>
      <c r="O297" s="52">
        <v>3</v>
      </c>
      <c r="P297" s="51">
        <v>1</v>
      </c>
      <c r="Q297" s="51">
        <v>5</v>
      </c>
      <c r="R297" s="51">
        <v>5</v>
      </c>
      <c r="S297" s="57" t="s">
        <v>48</v>
      </c>
      <c r="T297" s="51" t="s">
        <v>39</v>
      </c>
      <c r="U297" s="51">
        <v>2</v>
      </c>
      <c r="V297" s="51">
        <v>9</v>
      </c>
      <c r="W297" s="51">
        <v>3</v>
      </c>
      <c r="X297" s="51" t="s">
        <v>50</v>
      </c>
      <c r="Y297" s="57" t="s">
        <v>133</v>
      </c>
      <c r="Z297" s="58">
        <v>20</v>
      </c>
      <c r="AA297" s="57" t="s">
        <v>114</v>
      </c>
      <c r="AB297" s="59">
        <f t="shared" si="4"/>
        <v>45954</v>
      </c>
    </row>
    <row r="298" spans="1:28" ht="12.75">
      <c r="A298" s="56">
        <v>45954.76963141204</v>
      </c>
      <c r="B298" s="51" t="s">
        <v>497</v>
      </c>
      <c r="C298" s="51" t="s">
        <v>29</v>
      </c>
      <c r="D298" s="51" t="s">
        <v>30</v>
      </c>
      <c r="E298" s="51" t="s">
        <v>31</v>
      </c>
      <c r="F298" s="51" t="s">
        <v>85</v>
      </c>
      <c r="G298" s="51" t="s">
        <v>33</v>
      </c>
      <c r="H298" s="51">
        <v>24</v>
      </c>
      <c r="I298" s="51" t="s">
        <v>34</v>
      </c>
      <c r="J298" s="51" t="s">
        <v>64</v>
      </c>
      <c r="K298" s="51" t="s">
        <v>90</v>
      </c>
      <c r="L298" s="51" t="s">
        <v>47</v>
      </c>
      <c r="M298" s="51">
        <v>1</v>
      </c>
      <c r="N298" s="51">
        <v>1</v>
      </c>
      <c r="O298" s="52">
        <v>0</v>
      </c>
      <c r="P298" s="51">
        <v>0</v>
      </c>
      <c r="Q298" s="51">
        <v>1</v>
      </c>
      <c r="R298" s="51">
        <v>1</v>
      </c>
      <c r="S298" s="57" t="s">
        <v>498</v>
      </c>
      <c r="T298" s="51" t="s">
        <v>81</v>
      </c>
      <c r="U298" s="51">
        <v>1</v>
      </c>
      <c r="V298" s="51">
        <v>5</v>
      </c>
      <c r="W298" s="51">
        <v>1</v>
      </c>
      <c r="X298" s="51" t="s">
        <v>50</v>
      </c>
      <c r="Y298" s="57" t="s">
        <v>144</v>
      </c>
      <c r="Z298" s="58">
        <v>0</v>
      </c>
      <c r="AA298" s="57" t="s">
        <v>104</v>
      </c>
      <c r="AB298" s="59">
        <f t="shared" si="4"/>
        <v>45954</v>
      </c>
    </row>
    <row r="299" spans="1:28" ht="12.75">
      <c r="A299" s="56">
        <v>45954.784294305558</v>
      </c>
      <c r="B299" s="51" t="s">
        <v>499</v>
      </c>
      <c r="C299" s="51" t="s">
        <v>29</v>
      </c>
      <c r="D299" s="51" t="s">
        <v>30</v>
      </c>
      <c r="E299" s="51" t="s">
        <v>31</v>
      </c>
      <c r="F299" s="51" t="s">
        <v>85</v>
      </c>
      <c r="G299" s="51" t="s">
        <v>54</v>
      </c>
      <c r="H299" s="51">
        <v>24</v>
      </c>
      <c r="I299" s="51" t="s">
        <v>45</v>
      </c>
      <c r="J299" s="51" t="s">
        <v>64</v>
      </c>
      <c r="K299" s="51" t="s">
        <v>36</v>
      </c>
      <c r="L299" s="51" t="s">
        <v>113</v>
      </c>
      <c r="M299" s="51">
        <v>4</v>
      </c>
      <c r="N299" s="51">
        <v>4</v>
      </c>
      <c r="O299" s="52">
        <v>8</v>
      </c>
      <c r="P299" s="51">
        <v>3</v>
      </c>
      <c r="Q299" s="51">
        <v>5</v>
      </c>
      <c r="R299" s="51">
        <v>5</v>
      </c>
      <c r="S299" s="57" t="s">
        <v>249</v>
      </c>
      <c r="T299" s="51" t="s">
        <v>94</v>
      </c>
      <c r="U299" s="51">
        <v>5</v>
      </c>
      <c r="V299" s="51">
        <v>8</v>
      </c>
      <c r="W299" s="51">
        <v>3</v>
      </c>
      <c r="X299" s="51" t="s">
        <v>40</v>
      </c>
      <c r="Y299" s="57" t="s">
        <v>61</v>
      </c>
      <c r="Z299" s="58">
        <v>400</v>
      </c>
      <c r="AA299" s="57" t="s">
        <v>142</v>
      </c>
      <c r="AB299" s="59">
        <f t="shared" si="4"/>
        <v>45954</v>
      </c>
    </row>
    <row r="300" spans="1:28" ht="12.75">
      <c r="A300" s="56">
        <v>45954.792731481481</v>
      </c>
      <c r="B300" s="51" t="s">
        <v>500</v>
      </c>
      <c r="C300" s="51" t="s">
        <v>29</v>
      </c>
      <c r="D300" s="51" t="s">
        <v>30</v>
      </c>
      <c r="E300" s="51" t="s">
        <v>31</v>
      </c>
      <c r="F300" s="51" t="s">
        <v>85</v>
      </c>
      <c r="G300" s="51" t="s">
        <v>54</v>
      </c>
      <c r="H300" s="51">
        <v>24</v>
      </c>
      <c r="I300" s="51" t="s">
        <v>34</v>
      </c>
      <c r="J300" s="51" t="s">
        <v>64</v>
      </c>
      <c r="K300" s="51" t="s">
        <v>90</v>
      </c>
      <c r="L300" s="51" t="s">
        <v>47</v>
      </c>
      <c r="M300" s="51">
        <v>1</v>
      </c>
      <c r="N300" s="51">
        <v>1</v>
      </c>
      <c r="O300" s="52">
        <v>0</v>
      </c>
      <c r="P300" s="51">
        <v>0</v>
      </c>
      <c r="Q300" s="51">
        <v>1</v>
      </c>
      <c r="R300" s="51">
        <v>1</v>
      </c>
      <c r="S300" s="57" t="s">
        <v>501</v>
      </c>
      <c r="T300" s="51" t="s">
        <v>81</v>
      </c>
      <c r="U300" s="51">
        <v>2</v>
      </c>
      <c r="V300" s="51">
        <v>4</v>
      </c>
      <c r="W300" s="51">
        <v>1</v>
      </c>
      <c r="X300" s="51" t="s">
        <v>40</v>
      </c>
      <c r="Y300" s="57" t="s">
        <v>502</v>
      </c>
      <c r="Z300" s="58">
        <v>0</v>
      </c>
      <c r="AA300" s="57" t="s">
        <v>122</v>
      </c>
      <c r="AB300" s="59">
        <f t="shared" si="4"/>
        <v>45954</v>
      </c>
    </row>
    <row r="301" spans="1:28" ht="12.75">
      <c r="A301" s="56">
        <v>45954.814239085652</v>
      </c>
      <c r="B301" s="51" t="s">
        <v>503</v>
      </c>
      <c r="C301" s="51" t="s">
        <v>29</v>
      </c>
      <c r="D301" s="51" t="s">
        <v>30</v>
      </c>
      <c r="E301" s="51" t="s">
        <v>31</v>
      </c>
      <c r="F301" s="51" t="s">
        <v>85</v>
      </c>
      <c r="G301" s="51" t="s">
        <v>54</v>
      </c>
      <c r="H301" s="51">
        <v>24</v>
      </c>
      <c r="I301" s="51" t="s">
        <v>34</v>
      </c>
      <c r="J301" s="51" t="s">
        <v>64</v>
      </c>
      <c r="K301" s="51" t="s">
        <v>36</v>
      </c>
      <c r="L301" s="51" t="s">
        <v>74</v>
      </c>
      <c r="M301" s="51">
        <v>2</v>
      </c>
      <c r="N301" s="51">
        <v>1</v>
      </c>
      <c r="O301" s="52">
        <v>1</v>
      </c>
      <c r="P301" s="51">
        <v>0</v>
      </c>
      <c r="Q301" s="51">
        <v>2</v>
      </c>
      <c r="R301" s="51">
        <v>2</v>
      </c>
      <c r="S301" s="57" t="s">
        <v>48</v>
      </c>
      <c r="T301" s="51" t="s">
        <v>81</v>
      </c>
      <c r="U301" s="51">
        <v>5</v>
      </c>
      <c r="V301" s="51">
        <v>8</v>
      </c>
      <c r="W301" s="51">
        <v>2</v>
      </c>
      <c r="X301" s="51" t="s">
        <v>40</v>
      </c>
      <c r="Y301" s="57" t="s">
        <v>201</v>
      </c>
      <c r="Z301" s="58">
        <v>0</v>
      </c>
      <c r="AA301" s="57" t="s">
        <v>277</v>
      </c>
      <c r="AB301" s="59">
        <f t="shared" si="4"/>
        <v>45954</v>
      </c>
    </row>
    <row r="302" spans="1:28" ht="12.75">
      <c r="A302" s="56">
        <v>45954.82215010417</v>
      </c>
      <c r="B302" s="51" t="s">
        <v>504</v>
      </c>
      <c r="C302" s="51" t="s">
        <v>29</v>
      </c>
      <c r="D302" s="51" t="s">
        <v>30</v>
      </c>
      <c r="E302" s="51" t="s">
        <v>31</v>
      </c>
      <c r="F302" s="51" t="s">
        <v>85</v>
      </c>
      <c r="G302" s="51" t="s">
        <v>54</v>
      </c>
      <c r="H302" s="51">
        <v>24</v>
      </c>
      <c r="I302" s="51" t="s">
        <v>34</v>
      </c>
      <c r="J302" s="51" t="s">
        <v>46</v>
      </c>
      <c r="K302" s="51" t="s">
        <v>36</v>
      </c>
      <c r="L302" s="51" t="s">
        <v>74</v>
      </c>
      <c r="M302" s="51">
        <v>2</v>
      </c>
      <c r="N302" s="51">
        <v>1</v>
      </c>
      <c r="O302" s="52">
        <v>1</v>
      </c>
      <c r="P302" s="51">
        <v>0</v>
      </c>
      <c r="Q302" s="51">
        <v>2</v>
      </c>
      <c r="R302" s="51">
        <v>1</v>
      </c>
      <c r="S302" s="57" t="s">
        <v>48</v>
      </c>
      <c r="T302" s="51" t="s">
        <v>81</v>
      </c>
      <c r="U302" s="51">
        <v>7</v>
      </c>
      <c r="V302" s="51">
        <v>10</v>
      </c>
      <c r="W302" s="51">
        <v>1</v>
      </c>
      <c r="X302" s="51" t="s">
        <v>40</v>
      </c>
      <c r="Y302" s="57" t="s">
        <v>95</v>
      </c>
      <c r="Z302" s="58">
        <v>0</v>
      </c>
      <c r="AA302" s="57" t="s">
        <v>128</v>
      </c>
      <c r="AB302" s="59">
        <f t="shared" si="4"/>
        <v>45954</v>
      </c>
    </row>
    <row r="303" spans="1:28" ht="12.75">
      <c r="A303" s="56">
        <v>45954.823937083333</v>
      </c>
      <c r="B303" s="51" t="s">
        <v>505</v>
      </c>
      <c r="C303" s="51" t="s">
        <v>29</v>
      </c>
      <c r="D303" s="51" t="s">
        <v>30</v>
      </c>
      <c r="E303" s="51" t="s">
        <v>31</v>
      </c>
      <c r="F303" s="51" t="s">
        <v>85</v>
      </c>
      <c r="G303" s="51" t="s">
        <v>54</v>
      </c>
      <c r="H303" s="51">
        <v>24</v>
      </c>
      <c r="I303" s="51" t="s">
        <v>34</v>
      </c>
      <c r="J303" s="51" t="s">
        <v>64</v>
      </c>
      <c r="K303" s="51" t="s">
        <v>36</v>
      </c>
      <c r="L303" s="51" t="s">
        <v>74</v>
      </c>
      <c r="M303" s="51">
        <v>2</v>
      </c>
      <c r="N303" s="51">
        <v>1</v>
      </c>
      <c r="O303" s="52">
        <v>1</v>
      </c>
      <c r="P303" s="51">
        <v>0</v>
      </c>
      <c r="Q303" s="51">
        <v>2</v>
      </c>
      <c r="R303" s="51">
        <v>2</v>
      </c>
      <c r="S303" s="57" t="s">
        <v>48</v>
      </c>
      <c r="T303" s="51" t="s">
        <v>81</v>
      </c>
      <c r="U303" s="51">
        <v>5</v>
      </c>
      <c r="V303" s="51">
        <v>9</v>
      </c>
      <c r="W303" s="51">
        <v>3</v>
      </c>
      <c r="X303" s="51" t="s">
        <v>40</v>
      </c>
      <c r="Y303" s="57" t="s">
        <v>95</v>
      </c>
      <c r="Z303" s="58">
        <v>0</v>
      </c>
      <c r="AA303" s="57" t="s">
        <v>252</v>
      </c>
      <c r="AB303" s="59">
        <f t="shared" si="4"/>
        <v>45954</v>
      </c>
    </row>
    <row r="304" spans="1:28" ht="12.75">
      <c r="A304" s="56">
        <v>45954.849998657402</v>
      </c>
      <c r="B304" s="51" t="s">
        <v>506</v>
      </c>
      <c r="C304" s="51" t="s">
        <v>29</v>
      </c>
      <c r="D304" s="51" t="s">
        <v>30</v>
      </c>
      <c r="E304" s="51" t="s">
        <v>31</v>
      </c>
      <c r="F304" s="51" t="s">
        <v>85</v>
      </c>
      <c r="G304" s="51" t="s">
        <v>54</v>
      </c>
      <c r="H304" s="51">
        <v>24</v>
      </c>
      <c r="I304" s="51" t="s">
        <v>34</v>
      </c>
      <c r="J304" s="51" t="s">
        <v>64</v>
      </c>
      <c r="K304" s="51" t="s">
        <v>90</v>
      </c>
      <c r="L304" s="51" t="s">
        <v>47</v>
      </c>
      <c r="M304" s="51">
        <v>1</v>
      </c>
      <c r="N304" s="51">
        <v>1</v>
      </c>
      <c r="O304" s="52">
        <v>0</v>
      </c>
      <c r="P304" s="51">
        <v>0</v>
      </c>
      <c r="Q304" s="51">
        <v>3</v>
      </c>
      <c r="R304" s="51">
        <v>3</v>
      </c>
      <c r="S304" s="57" t="s">
        <v>101</v>
      </c>
      <c r="T304" s="51" t="s">
        <v>81</v>
      </c>
      <c r="U304" s="51">
        <v>4</v>
      </c>
      <c r="V304" s="51">
        <v>9</v>
      </c>
      <c r="W304" s="51">
        <v>3</v>
      </c>
      <c r="X304" s="51" t="s">
        <v>50</v>
      </c>
      <c r="Y304" s="57" t="s">
        <v>262</v>
      </c>
      <c r="Z304" s="58">
        <v>0</v>
      </c>
      <c r="AA304" s="57" t="s">
        <v>128</v>
      </c>
      <c r="AB304" s="59">
        <f t="shared" si="4"/>
        <v>45954</v>
      </c>
    </row>
    <row r="305" spans="1:28" ht="12.75">
      <c r="A305" s="56">
        <v>45954.862083009255</v>
      </c>
      <c r="B305" s="51" t="s">
        <v>507</v>
      </c>
      <c r="C305" s="51" t="s">
        <v>29</v>
      </c>
      <c r="D305" s="51" t="s">
        <v>30</v>
      </c>
      <c r="E305" s="51" t="s">
        <v>31</v>
      </c>
      <c r="F305" s="51" t="s">
        <v>85</v>
      </c>
      <c r="G305" s="51" t="s">
        <v>33</v>
      </c>
      <c r="H305" s="51">
        <v>24</v>
      </c>
      <c r="I305" s="51" t="s">
        <v>34</v>
      </c>
      <c r="J305" s="51" t="s">
        <v>79</v>
      </c>
      <c r="K305" s="51" t="s">
        <v>90</v>
      </c>
      <c r="L305" s="51" t="s">
        <v>47</v>
      </c>
      <c r="M305" s="51">
        <v>1</v>
      </c>
      <c r="N305" s="51">
        <v>1</v>
      </c>
      <c r="O305" s="52">
        <v>0</v>
      </c>
      <c r="P305" s="51">
        <v>0</v>
      </c>
      <c r="Q305" s="51">
        <v>2</v>
      </c>
      <c r="R305" s="51">
        <v>2</v>
      </c>
      <c r="S305" s="57" t="s">
        <v>48</v>
      </c>
      <c r="T305" s="51" t="s">
        <v>49</v>
      </c>
      <c r="U305" s="51">
        <v>5</v>
      </c>
      <c r="V305" s="51">
        <v>8</v>
      </c>
      <c r="W305" s="51">
        <v>3</v>
      </c>
      <c r="X305" s="51" t="s">
        <v>50</v>
      </c>
      <c r="Y305" s="57" t="s">
        <v>201</v>
      </c>
      <c r="Z305" s="58">
        <v>0</v>
      </c>
      <c r="AA305" s="57" t="s">
        <v>254</v>
      </c>
      <c r="AB305" s="59">
        <f t="shared" si="4"/>
        <v>45954</v>
      </c>
    </row>
    <row r="306" spans="1:28" ht="12.75">
      <c r="A306" s="56">
        <v>45954.874642199073</v>
      </c>
      <c r="B306" s="51" t="s">
        <v>508</v>
      </c>
      <c r="C306" s="51" t="s">
        <v>29</v>
      </c>
      <c r="D306" s="51" t="s">
        <v>30</v>
      </c>
      <c r="E306" s="51" t="s">
        <v>31</v>
      </c>
      <c r="F306" s="51" t="s">
        <v>85</v>
      </c>
      <c r="G306" s="51" t="s">
        <v>149</v>
      </c>
      <c r="H306" s="51">
        <v>24</v>
      </c>
      <c r="I306" s="51" t="s">
        <v>34</v>
      </c>
      <c r="J306" s="51" t="s">
        <v>89</v>
      </c>
      <c r="K306" s="51" t="s">
        <v>90</v>
      </c>
      <c r="L306" s="51" t="s">
        <v>47</v>
      </c>
      <c r="M306" s="51">
        <v>1</v>
      </c>
      <c r="N306" s="51">
        <v>1</v>
      </c>
      <c r="O306" s="52">
        <v>0</v>
      </c>
      <c r="P306" s="51">
        <v>0</v>
      </c>
      <c r="Q306" s="51">
        <v>1</v>
      </c>
      <c r="R306" s="51">
        <v>1</v>
      </c>
      <c r="S306" s="57" t="s">
        <v>91</v>
      </c>
      <c r="T306" s="51" t="s">
        <v>81</v>
      </c>
      <c r="U306" s="51">
        <v>7</v>
      </c>
      <c r="V306" s="51">
        <v>9</v>
      </c>
      <c r="W306" s="51">
        <v>1</v>
      </c>
      <c r="X306" s="51" t="s">
        <v>40</v>
      </c>
      <c r="Y306" s="57" t="s">
        <v>41</v>
      </c>
      <c r="Z306" s="58">
        <v>0</v>
      </c>
      <c r="AA306" s="57" t="s">
        <v>317</v>
      </c>
      <c r="AB306" s="59">
        <f t="shared" si="4"/>
        <v>45954</v>
      </c>
    </row>
    <row r="307" spans="1:28" ht="12.75">
      <c r="A307" s="56">
        <v>45954.884023090279</v>
      </c>
      <c r="B307" s="51" t="s">
        <v>509</v>
      </c>
      <c r="C307" s="51" t="s">
        <v>29</v>
      </c>
      <c r="D307" s="51" t="s">
        <v>30</v>
      </c>
      <c r="E307" s="51" t="s">
        <v>31</v>
      </c>
      <c r="F307" s="51" t="s">
        <v>32</v>
      </c>
      <c r="G307" s="51" t="s">
        <v>33</v>
      </c>
      <c r="H307" s="51">
        <v>24</v>
      </c>
      <c r="I307" s="51" t="s">
        <v>34</v>
      </c>
      <c r="J307" s="51" t="s">
        <v>64</v>
      </c>
      <c r="K307" s="51" t="s">
        <v>36</v>
      </c>
      <c r="L307" s="51" t="s">
        <v>37</v>
      </c>
      <c r="M307" s="51">
        <v>1</v>
      </c>
      <c r="N307" s="51">
        <v>5</v>
      </c>
      <c r="O307" s="52">
        <v>36</v>
      </c>
      <c r="P307" s="51">
        <v>4</v>
      </c>
      <c r="Q307" s="51">
        <v>5</v>
      </c>
      <c r="R307" s="51">
        <v>5</v>
      </c>
      <c r="S307" s="57" t="s">
        <v>146</v>
      </c>
      <c r="T307" s="51" t="s">
        <v>102</v>
      </c>
      <c r="U307" s="51">
        <v>4</v>
      </c>
      <c r="V307" s="51">
        <v>10</v>
      </c>
      <c r="W307" s="51">
        <v>3</v>
      </c>
      <c r="X307" s="51" t="s">
        <v>50</v>
      </c>
      <c r="Y307" s="57" t="s">
        <v>95</v>
      </c>
      <c r="Z307" s="58">
        <v>30</v>
      </c>
      <c r="AA307" s="57" t="s">
        <v>389</v>
      </c>
      <c r="AB307" s="59">
        <f t="shared" si="4"/>
        <v>45954</v>
      </c>
    </row>
    <row r="308" spans="1:28" ht="12.75">
      <c r="A308" s="56">
        <v>45954.90637517361</v>
      </c>
      <c r="B308" s="51" t="s">
        <v>510</v>
      </c>
      <c r="C308" s="51" t="s">
        <v>29</v>
      </c>
      <c r="D308" s="51" t="s">
        <v>30</v>
      </c>
      <c r="E308" s="51" t="s">
        <v>31</v>
      </c>
      <c r="F308" s="51" t="s">
        <v>32</v>
      </c>
      <c r="G308" s="51" t="s">
        <v>33</v>
      </c>
      <c r="H308" s="51">
        <v>24</v>
      </c>
      <c r="I308" s="51" t="s">
        <v>34</v>
      </c>
      <c r="J308" s="51" t="s">
        <v>64</v>
      </c>
      <c r="K308" s="51" t="s">
        <v>36</v>
      </c>
      <c r="L308" s="51" t="s">
        <v>74</v>
      </c>
      <c r="M308" s="51">
        <v>3</v>
      </c>
      <c r="N308" s="51">
        <v>3</v>
      </c>
      <c r="O308" s="52">
        <v>1.5</v>
      </c>
      <c r="P308" s="51">
        <v>0</v>
      </c>
      <c r="Q308" s="51">
        <v>3</v>
      </c>
      <c r="R308" s="51">
        <v>1</v>
      </c>
      <c r="S308" s="57" t="s">
        <v>141</v>
      </c>
      <c r="T308" s="51" t="s">
        <v>49</v>
      </c>
      <c r="U308" s="51">
        <v>14</v>
      </c>
      <c r="V308" s="51">
        <v>9</v>
      </c>
      <c r="W308" s="51">
        <v>2</v>
      </c>
      <c r="X308" s="51" t="s">
        <v>40</v>
      </c>
      <c r="Y308" s="57" t="s">
        <v>177</v>
      </c>
      <c r="Z308" s="58">
        <v>10</v>
      </c>
      <c r="AA308" s="57" t="s">
        <v>511</v>
      </c>
      <c r="AB308" s="59">
        <f t="shared" si="4"/>
        <v>45954</v>
      </c>
    </row>
    <row r="309" spans="1:28" ht="12.75">
      <c r="A309" s="56">
        <v>45954.92762736111</v>
      </c>
      <c r="B309" s="51" t="s">
        <v>512</v>
      </c>
      <c r="C309" s="51" t="s">
        <v>29</v>
      </c>
      <c r="D309" s="51" t="s">
        <v>30</v>
      </c>
      <c r="E309" s="51" t="s">
        <v>31</v>
      </c>
      <c r="F309" s="51" t="s">
        <v>32</v>
      </c>
      <c r="G309" s="51" t="s">
        <v>33</v>
      </c>
      <c r="H309" s="51">
        <v>24</v>
      </c>
      <c r="I309" s="51" t="s">
        <v>34</v>
      </c>
      <c r="J309" s="51" t="s">
        <v>64</v>
      </c>
      <c r="K309" s="51" t="s">
        <v>36</v>
      </c>
      <c r="L309" s="51" t="s">
        <v>68</v>
      </c>
      <c r="M309" s="51">
        <v>1</v>
      </c>
      <c r="N309" s="51">
        <v>2</v>
      </c>
      <c r="O309" s="52">
        <v>2</v>
      </c>
      <c r="P309" s="51">
        <v>1</v>
      </c>
      <c r="Q309" s="51">
        <v>3</v>
      </c>
      <c r="R309" s="51">
        <v>4</v>
      </c>
      <c r="S309" s="57" t="s">
        <v>135</v>
      </c>
      <c r="T309" s="51" t="s">
        <v>49</v>
      </c>
      <c r="U309" s="51">
        <v>9</v>
      </c>
      <c r="V309" s="51">
        <v>9</v>
      </c>
      <c r="W309" s="51">
        <v>1</v>
      </c>
      <c r="X309" s="51" t="s">
        <v>40</v>
      </c>
      <c r="Y309" s="57" t="s">
        <v>328</v>
      </c>
      <c r="Z309" s="58">
        <v>25</v>
      </c>
      <c r="AA309" s="57" t="s">
        <v>147</v>
      </c>
      <c r="AB309" s="59">
        <f t="shared" si="4"/>
        <v>45954</v>
      </c>
    </row>
    <row r="310" spans="1:28" ht="12.75">
      <c r="A310" s="56">
        <v>45954.937645358797</v>
      </c>
      <c r="B310" s="51" t="s">
        <v>513</v>
      </c>
      <c r="C310" s="51" t="s">
        <v>29</v>
      </c>
      <c r="D310" s="51" t="s">
        <v>30</v>
      </c>
      <c r="E310" s="51" t="s">
        <v>31</v>
      </c>
      <c r="F310" s="51" t="s">
        <v>85</v>
      </c>
      <c r="G310" s="51" t="s">
        <v>54</v>
      </c>
      <c r="H310" s="51">
        <v>24</v>
      </c>
      <c r="I310" s="51" t="s">
        <v>45</v>
      </c>
      <c r="J310" s="51" t="s">
        <v>64</v>
      </c>
      <c r="K310" s="51" t="s">
        <v>90</v>
      </c>
      <c r="L310" s="51" t="s">
        <v>47</v>
      </c>
      <c r="M310" s="51">
        <v>1</v>
      </c>
      <c r="N310" s="51">
        <v>1</v>
      </c>
      <c r="O310" s="52">
        <v>0</v>
      </c>
      <c r="P310" s="51">
        <v>0</v>
      </c>
      <c r="Q310" s="51">
        <v>2</v>
      </c>
      <c r="R310" s="51">
        <v>1</v>
      </c>
      <c r="S310" s="57" t="s">
        <v>127</v>
      </c>
      <c r="T310" s="51" t="s">
        <v>81</v>
      </c>
      <c r="U310" s="51">
        <v>4</v>
      </c>
      <c r="V310" s="51">
        <v>9</v>
      </c>
      <c r="W310" s="51">
        <v>2</v>
      </c>
      <c r="X310" s="51" t="s">
        <v>40</v>
      </c>
      <c r="Y310" s="57" t="s">
        <v>262</v>
      </c>
      <c r="Z310" s="58">
        <v>0</v>
      </c>
      <c r="AA310" s="57" t="s">
        <v>389</v>
      </c>
      <c r="AB310" s="59">
        <f t="shared" si="4"/>
        <v>45954</v>
      </c>
    </row>
    <row r="311" spans="1:28" ht="12.75">
      <c r="A311" s="56">
        <v>45951.977919386569</v>
      </c>
      <c r="B311" s="51" t="s">
        <v>514</v>
      </c>
      <c r="C311" s="51" t="s">
        <v>29</v>
      </c>
      <c r="D311" s="51" t="s">
        <v>30</v>
      </c>
      <c r="E311" s="51" t="s">
        <v>31</v>
      </c>
      <c r="F311" s="51" t="s">
        <v>32</v>
      </c>
      <c r="G311" s="51" t="s">
        <v>54</v>
      </c>
      <c r="H311" s="51">
        <v>25</v>
      </c>
      <c r="I311" s="51" t="s">
        <v>34</v>
      </c>
      <c r="J311" s="51" t="s">
        <v>64</v>
      </c>
      <c r="K311" s="51" t="s">
        <v>36</v>
      </c>
      <c r="L311" s="51" t="s">
        <v>74</v>
      </c>
      <c r="M311" s="51">
        <v>5</v>
      </c>
      <c r="N311" s="51">
        <v>5</v>
      </c>
      <c r="O311" s="52">
        <v>37</v>
      </c>
      <c r="P311" s="51">
        <v>2</v>
      </c>
      <c r="Q311" s="51">
        <v>5</v>
      </c>
      <c r="R311" s="51">
        <v>5</v>
      </c>
      <c r="S311" s="57" t="s">
        <v>48</v>
      </c>
      <c r="T311" s="51" t="s">
        <v>102</v>
      </c>
      <c r="U311" s="51">
        <v>12</v>
      </c>
      <c r="V311" s="51">
        <v>7</v>
      </c>
      <c r="W311" s="51">
        <v>1</v>
      </c>
      <c r="X311" s="51" t="s">
        <v>40</v>
      </c>
      <c r="Y311" s="57" t="s">
        <v>41</v>
      </c>
      <c r="Z311" s="58">
        <v>39.99</v>
      </c>
      <c r="AA311" s="57" t="s">
        <v>154</v>
      </c>
      <c r="AB311" s="59">
        <f t="shared" si="4"/>
        <v>45951</v>
      </c>
    </row>
    <row r="312" spans="1:28" ht="12.75">
      <c r="A312" s="56">
        <v>45952.296892627317</v>
      </c>
      <c r="B312" s="51" t="s">
        <v>515</v>
      </c>
      <c r="C312" s="51" t="s">
        <v>29</v>
      </c>
      <c r="D312" s="51" t="s">
        <v>30</v>
      </c>
      <c r="E312" s="51" t="s">
        <v>31</v>
      </c>
      <c r="F312" s="51" t="s">
        <v>53</v>
      </c>
      <c r="G312" s="51" t="s">
        <v>54</v>
      </c>
      <c r="H312" s="51">
        <v>25</v>
      </c>
      <c r="I312" s="51" t="s">
        <v>34</v>
      </c>
      <c r="J312" s="51" t="s">
        <v>46</v>
      </c>
      <c r="K312" s="51" t="s">
        <v>36</v>
      </c>
      <c r="L312" s="51" t="s">
        <v>68</v>
      </c>
      <c r="M312" s="51">
        <v>3</v>
      </c>
      <c r="N312" s="51">
        <v>2</v>
      </c>
      <c r="O312" s="52">
        <v>35</v>
      </c>
      <c r="P312" s="51">
        <v>0</v>
      </c>
      <c r="Q312" s="51">
        <v>5</v>
      </c>
      <c r="R312" s="51">
        <v>5</v>
      </c>
      <c r="S312" s="57" t="s">
        <v>125</v>
      </c>
      <c r="T312" s="51" t="s">
        <v>39</v>
      </c>
      <c r="U312" s="51">
        <v>3</v>
      </c>
      <c r="V312" s="51">
        <v>10</v>
      </c>
      <c r="W312" s="51">
        <v>3</v>
      </c>
      <c r="X312" s="51" t="s">
        <v>69</v>
      </c>
      <c r="Y312" s="57" t="s">
        <v>95</v>
      </c>
      <c r="Z312" s="58">
        <v>100.5</v>
      </c>
      <c r="AA312" s="57" t="s">
        <v>139</v>
      </c>
      <c r="AB312" s="59">
        <f t="shared" si="4"/>
        <v>45952</v>
      </c>
    </row>
    <row r="313" spans="1:28" ht="12.75">
      <c r="A313" s="56">
        <v>45952.306289733795</v>
      </c>
      <c r="B313" s="51" t="s">
        <v>516</v>
      </c>
      <c r="C313" s="51" t="s">
        <v>29</v>
      </c>
      <c r="D313" s="51" t="s">
        <v>30</v>
      </c>
      <c r="E313" s="51" t="s">
        <v>31</v>
      </c>
      <c r="F313" s="51" t="s">
        <v>53</v>
      </c>
      <c r="G313" s="51" t="s">
        <v>54</v>
      </c>
      <c r="H313" s="51">
        <v>25</v>
      </c>
      <c r="I313" s="51" t="s">
        <v>34</v>
      </c>
      <c r="J313" s="51" t="s">
        <v>35</v>
      </c>
      <c r="K313" s="51" t="s">
        <v>36</v>
      </c>
      <c r="L313" s="51" t="s">
        <v>68</v>
      </c>
      <c r="M313" s="51">
        <v>3</v>
      </c>
      <c r="N313" s="51">
        <v>2</v>
      </c>
      <c r="O313" s="52">
        <v>20</v>
      </c>
      <c r="P313" s="51">
        <v>0</v>
      </c>
      <c r="Q313" s="51">
        <v>5</v>
      </c>
      <c r="R313" s="51">
        <v>3</v>
      </c>
      <c r="S313" s="57" t="s">
        <v>125</v>
      </c>
      <c r="T313" s="51" t="s">
        <v>94</v>
      </c>
      <c r="U313" s="51">
        <v>0</v>
      </c>
      <c r="V313" s="51">
        <v>10</v>
      </c>
      <c r="W313" s="51">
        <v>2</v>
      </c>
      <c r="X313" s="51" t="s">
        <v>50</v>
      </c>
      <c r="Y313" s="57" t="s">
        <v>118</v>
      </c>
      <c r="Z313" s="58">
        <v>270.89999999999998</v>
      </c>
      <c r="AA313" s="57" t="s">
        <v>57</v>
      </c>
      <c r="AB313" s="59">
        <f t="shared" si="4"/>
        <v>45952</v>
      </c>
    </row>
    <row r="314" spans="1:28" ht="12.75">
      <c r="A314" s="56">
        <v>45953.384090983796</v>
      </c>
      <c r="B314" s="51" t="s">
        <v>517</v>
      </c>
      <c r="C314" s="51" t="s">
        <v>29</v>
      </c>
      <c r="D314" s="51" t="s">
        <v>30</v>
      </c>
      <c r="E314" s="51" t="s">
        <v>31</v>
      </c>
      <c r="F314" s="51" t="s">
        <v>53</v>
      </c>
      <c r="G314" s="51" t="s">
        <v>54</v>
      </c>
      <c r="H314" s="51">
        <v>25</v>
      </c>
      <c r="I314" s="51" t="s">
        <v>34</v>
      </c>
      <c r="J314" s="51" t="s">
        <v>89</v>
      </c>
      <c r="K314" s="51" t="s">
        <v>36</v>
      </c>
      <c r="L314" s="51" t="s">
        <v>37</v>
      </c>
      <c r="M314" s="51">
        <v>2</v>
      </c>
      <c r="N314" s="51">
        <v>1</v>
      </c>
      <c r="O314" s="52">
        <v>3.5</v>
      </c>
      <c r="P314" s="51">
        <v>0</v>
      </c>
      <c r="Q314" s="51">
        <v>5</v>
      </c>
      <c r="R314" s="51">
        <v>3</v>
      </c>
      <c r="S314" s="57" t="s">
        <v>249</v>
      </c>
      <c r="T314" s="51" t="s">
        <v>49</v>
      </c>
      <c r="U314" s="51">
        <v>3</v>
      </c>
      <c r="V314" s="51">
        <v>10</v>
      </c>
      <c r="W314" s="51">
        <v>2</v>
      </c>
      <c r="X314" s="51" t="s">
        <v>40</v>
      </c>
      <c r="Y314" s="57" t="s">
        <v>61</v>
      </c>
      <c r="Z314" s="58">
        <v>30.5</v>
      </c>
      <c r="AA314" s="57" t="s">
        <v>213</v>
      </c>
      <c r="AB314" s="59">
        <f t="shared" si="4"/>
        <v>45953</v>
      </c>
    </row>
    <row r="315" spans="1:28" ht="12.75">
      <c r="A315" s="56">
        <v>45953.450104664356</v>
      </c>
      <c r="B315" s="51" t="s">
        <v>518</v>
      </c>
      <c r="C315" s="51" t="s">
        <v>29</v>
      </c>
      <c r="D315" s="51" t="s">
        <v>30</v>
      </c>
      <c r="E315" s="51" t="s">
        <v>31</v>
      </c>
      <c r="F315" s="51" t="s">
        <v>53</v>
      </c>
      <c r="G315" s="51" t="s">
        <v>33</v>
      </c>
      <c r="H315" s="51">
        <v>25</v>
      </c>
      <c r="I315" s="51" t="s">
        <v>34</v>
      </c>
      <c r="J315" s="51" t="s">
        <v>108</v>
      </c>
      <c r="K315" s="51" t="s">
        <v>36</v>
      </c>
      <c r="L315" s="51" t="s">
        <v>74</v>
      </c>
      <c r="M315" s="51">
        <v>2</v>
      </c>
      <c r="N315" s="51">
        <v>1</v>
      </c>
      <c r="O315" s="52">
        <v>3.5</v>
      </c>
      <c r="P315" s="51">
        <v>0</v>
      </c>
      <c r="Q315" s="51">
        <v>5</v>
      </c>
      <c r="R315" s="51">
        <v>2</v>
      </c>
      <c r="S315" s="57" t="s">
        <v>75</v>
      </c>
      <c r="T315" s="51" t="s">
        <v>94</v>
      </c>
      <c r="U315" s="51">
        <v>2</v>
      </c>
      <c r="V315" s="51">
        <v>7</v>
      </c>
      <c r="W315" s="51">
        <v>2</v>
      </c>
      <c r="X315" s="51" t="s">
        <v>60</v>
      </c>
      <c r="Y315" s="57" t="s">
        <v>65</v>
      </c>
      <c r="Z315" s="58">
        <v>20.5</v>
      </c>
      <c r="AA315" s="57" t="s">
        <v>122</v>
      </c>
      <c r="AB315" s="59">
        <f t="shared" si="4"/>
        <v>45953</v>
      </c>
    </row>
    <row r="316" spans="1:28" ht="12.75">
      <c r="A316" s="56">
        <v>45953.454961828698</v>
      </c>
      <c r="B316" s="51" t="s">
        <v>519</v>
      </c>
      <c r="C316" s="51" t="s">
        <v>29</v>
      </c>
      <c r="D316" s="51" t="s">
        <v>30</v>
      </c>
      <c r="E316" s="51" t="s">
        <v>31</v>
      </c>
      <c r="F316" s="51" t="s">
        <v>53</v>
      </c>
      <c r="G316" s="51" t="s">
        <v>54</v>
      </c>
      <c r="H316" s="51">
        <v>25</v>
      </c>
      <c r="I316" s="51" t="s">
        <v>34</v>
      </c>
      <c r="J316" s="51" t="s">
        <v>108</v>
      </c>
      <c r="K316" s="51" t="s">
        <v>36</v>
      </c>
      <c r="L316" s="51" t="s">
        <v>100</v>
      </c>
      <c r="M316" s="51">
        <v>2</v>
      </c>
      <c r="N316" s="51">
        <v>2</v>
      </c>
      <c r="O316" s="52">
        <v>5.5</v>
      </c>
      <c r="P316" s="51">
        <v>0</v>
      </c>
      <c r="Q316" s="51">
        <v>4</v>
      </c>
      <c r="R316" s="51">
        <v>2</v>
      </c>
      <c r="S316" s="57" t="s">
        <v>135</v>
      </c>
      <c r="T316" s="51" t="s">
        <v>39</v>
      </c>
      <c r="U316" s="51">
        <v>2</v>
      </c>
      <c r="V316" s="51">
        <v>5</v>
      </c>
      <c r="W316" s="51">
        <v>2</v>
      </c>
      <c r="X316" s="51" t="s">
        <v>69</v>
      </c>
      <c r="Y316" s="57" t="s">
        <v>76</v>
      </c>
      <c r="Z316" s="58">
        <v>10.9</v>
      </c>
      <c r="AA316" s="57" t="s">
        <v>122</v>
      </c>
      <c r="AB316" s="59">
        <f t="shared" si="4"/>
        <v>45953</v>
      </c>
    </row>
    <row r="317" spans="1:28" ht="12.75">
      <c r="A317" s="56">
        <v>45953.458382106481</v>
      </c>
      <c r="B317" s="51" t="s">
        <v>520</v>
      </c>
      <c r="C317" s="51" t="s">
        <v>29</v>
      </c>
      <c r="D317" s="51" t="s">
        <v>30</v>
      </c>
      <c r="E317" s="51" t="s">
        <v>31</v>
      </c>
      <c r="F317" s="51" t="s">
        <v>53</v>
      </c>
      <c r="G317" s="51" t="s">
        <v>33</v>
      </c>
      <c r="H317" s="51">
        <v>25</v>
      </c>
      <c r="I317" s="51" t="s">
        <v>34</v>
      </c>
      <c r="J317" s="51" t="s">
        <v>64</v>
      </c>
      <c r="K317" s="51" t="s">
        <v>36</v>
      </c>
      <c r="L317" s="51" t="s">
        <v>37</v>
      </c>
      <c r="M317" s="51">
        <v>3</v>
      </c>
      <c r="N317" s="51">
        <v>3</v>
      </c>
      <c r="O317" s="52">
        <v>20.5</v>
      </c>
      <c r="P317" s="51">
        <v>1</v>
      </c>
      <c r="Q317" s="51">
        <v>5</v>
      </c>
      <c r="R317" s="51">
        <v>4</v>
      </c>
      <c r="S317" s="57" t="s">
        <v>55</v>
      </c>
      <c r="T317" s="51" t="s">
        <v>94</v>
      </c>
      <c r="U317" s="51">
        <v>3</v>
      </c>
      <c r="V317" s="51">
        <v>10</v>
      </c>
      <c r="W317" s="51">
        <v>3</v>
      </c>
      <c r="X317" s="51" t="s">
        <v>50</v>
      </c>
      <c r="Y317" s="57" t="s">
        <v>65</v>
      </c>
      <c r="Z317" s="58">
        <v>35.5</v>
      </c>
      <c r="AA317" s="57" t="s">
        <v>288</v>
      </c>
      <c r="AB317" s="59">
        <f t="shared" si="4"/>
        <v>45953</v>
      </c>
    </row>
    <row r="318" spans="1:28" ht="12.75">
      <c r="A318" s="56">
        <v>45953.558288055559</v>
      </c>
      <c r="B318" s="51" t="s">
        <v>521</v>
      </c>
      <c r="C318" s="51" t="s">
        <v>29</v>
      </c>
      <c r="D318" s="51" t="s">
        <v>30</v>
      </c>
      <c r="E318" s="51" t="s">
        <v>31</v>
      </c>
      <c r="F318" s="51" t="s">
        <v>53</v>
      </c>
      <c r="G318" s="51" t="s">
        <v>54</v>
      </c>
      <c r="H318" s="51">
        <v>25</v>
      </c>
      <c r="I318" s="51" t="s">
        <v>34</v>
      </c>
      <c r="J318" s="51" t="s">
        <v>46</v>
      </c>
      <c r="K318" s="51" t="s">
        <v>36</v>
      </c>
      <c r="L318" s="51" t="s">
        <v>113</v>
      </c>
      <c r="M318" s="51">
        <v>4</v>
      </c>
      <c r="N318" s="51">
        <v>4</v>
      </c>
      <c r="O318" s="52">
        <v>50</v>
      </c>
      <c r="P318" s="51">
        <v>2</v>
      </c>
      <c r="Q318" s="51">
        <v>5</v>
      </c>
      <c r="R318" s="51">
        <v>5</v>
      </c>
      <c r="S318" s="57" t="s">
        <v>55</v>
      </c>
      <c r="T318" s="51" t="s">
        <v>94</v>
      </c>
      <c r="U318" s="51">
        <v>4</v>
      </c>
      <c r="V318" s="51">
        <v>10</v>
      </c>
      <c r="W318" s="51">
        <v>3</v>
      </c>
      <c r="X318" s="51" t="s">
        <v>69</v>
      </c>
      <c r="Y318" s="57" t="s">
        <v>118</v>
      </c>
      <c r="Z318" s="58">
        <v>250.6</v>
      </c>
      <c r="AA318" s="57" t="s">
        <v>66</v>
      </c>
      <c r="AB318" s="59">
        <f t="shared" si="4"/>
        <v>45953</v>
      </c>
    </row>
    <row r="319" spans="1:28" ht="12.75">
      <c r="A319" s="56">
        <v>45953.602196111111</v>
      </c>
      <c r="B319" s="51" t="s">
        <v>522</v>
      </c>
      <c r="C319" s="51" t="s">
        <v>29</v>
      </c>
      <c r="D319" s="51" t="s">
        <v>30</v>
      </c>
      <c r="E319" s="51" t="s">
        <v>31</v>
      </c>
      <c r="F319" s="51" t="s">
        <v>53</v>
      </c>
      <c r="G319" s="51" t="s">
        <v>33</v>
      </c>
      <c r="H319" s="51">
        <v>25</v>
      </c>
      <c r="I319" s="51" t="s">
        <v>34</v>
      </c>
      <c r="J319" s="51" t="s">
        <v>46</v>
      </c>
      <c r="K319" s="51" t="s">
        <v>36</v>
      </c>
      <c r="L319" s="51" t="s">
        <v>113</v>
      </c>
      <c r="M319" s="51">
        <v>2</v>
      </c>
      <c r="N319" s="51">
        <v>1</v>
      </c>
      <c r="O319" s="52">
        <v>18.5</v>
      </c>
      <c r="P319" s="51">
        <v>1</v>
      </c>
      <c r="Q319" s="51">
        <v>4</v>
      </c>
      <c r="R319" s="51">
        <v>4</v>
      </c>
      <c r="S319" s="57" t="s">
        <v>55</v>
      </c>
      <c r="T319" s="51" t="s">
        <v>39</v>
      </c>
      <c r="U319" s="51">
        <v>2</v>
      </c>
      <c r="V319" s="51">
        <v>8</v>
      </c>
      <c r="W319" s="51">
        <v>2</v>
      </c>
      <c r="X319" s="51" t="s">
        <v>50</v>
      </c>
      <c r="Y319" s="57" t="s">
        <v>61</v>
      </c>
      <c r="Z319" s="58">
        <v>10.8</v>
      </c>
      <c r="AA319" s="57" t="s">
        <v>387</v>
      </c>
      <c r="AB319" s="59">
        <f t="shared" si="4"/>
        <v>45953</v>
      </c>
    </row>
    <row r="320" spans="1:28" ht="12.75">
      <c r="A320" s="56">
        <v>45953.661592905089</v>
      </c>
      <c r="B320" s="51" t="s">
        <v>523</v>
      </c>
      <c r="C320" s="51" t="s">
        <v>29</v>
      </c>
      <c r="D320" s="51" t="s">
        <v>30</v>
      </c>
      <c r="E320" s="51" t="s">
        <v>31</v>
      </c>
      <c r="F320" s="51" t="s">
        <v>32</v>
      </c>
      <c r="G320" s="51" t="s">
        <v>33</v>
      </c>
      <c r="H320" s="51">
        <v>25</v>
      </c>
      <c r="I320" s="51" t="s">
        <v>34</v>
      </c>
      <c r="J320" s="51" t="s">
        <v>64</v>
      </c>
      <c r="K320" s="51" t="s">
        <v>36</v>
      </c>
      <c r="L320" s="51" t="s">
        <v>74</v>
      </c>
      <c r="M320" s="51">
        <v>3</v>
      </c>
      <c r="N320" s="51">
        <v>2</v>
      </c>
      <c r="O320" s="52">
        <v>7</v>
      </c>
      <c r="P320" s="51">
        <v>0</v>
      </c>
      <c r="Q320" s="51">
        <v>5</v>
      </c>
      <c r="R320" s="51">
        <v>5</v>
      </c>
      <c r="S320" s="57" t="s">
        <v>135</v>
      </c>
      <c r="T320" s="51" t="s">
        <v>94</v>
      </c>
      <c r="U320" s="51">
        <v>11</v>
      </c>
      <c r="V320" s="51">
        <v>10</v>
      </c>
      <c r="W320" s="51">
        <v>5</v>
      </c>
      <c r="X320" s="51" t="s">
        <v>69</v>
      </c>
      <c r="Y320" s="57" t="s">
        <v>95</v>
      </c>
      <c r="Z320" s="58">
        <v>30</v>
      </c>
      <c r="AA320" s="57" t="s">
        <v>154</v>
      </c>
      <c r="AB320" s="59">
        <f t="shared" si="4"/>
        <v>45953</v>
      </c>
    </row>
    <row r="321" spans="1:28" ht="12.75">
      <c r="A321" s="56">
        <v>45953.748475138884</v>
      </c>
      <c r="B321" s="51" t="s">
        <v>524</v>
      </c>
      <c r="C321" s="51" t="s">
        <v>29</v>
      </c>
      <c r="D321" s="51" t="s">
        <v>30</v>
      </c>
      <c r="E321" s="51" t="s">
        <v>31</v>
      </c>
      <c r="F321" s="51" t="s">
        <v>53</v>
      </c>
      <c r="G321" s="51" t="s">
        <v>33</v>
      </c>
      <c r="H321" s="51">
        <v>25</v>
      </c>
      <c r="I321" s="51" t="s">
        <v>34</v>
      </c>
      <c r="J321" s="51" t="s">
        <v>89</v>
      </c>
      <c r="K321" s="51" t="s">
        <v>36</v>
      </c>
      <c r="L321" s="51" t="s">
        <v>113</v>
      </c>
      <c r="M321" s="51">
        <v>3</v>
      </c>
      <c r="N321" s="51">
        <v>3</v>
      </c>
      <c r="O321" s="52">
        <v>25.75</v>
      </c>
      <c r="P321" s="51">
        <v>1</v>
      </c>
      <c r="Q321" s="51">
        <v>5</v>
      </c>
      <c r="R321" s="51">
        <v>5</v>
      </c>
      <c r="S321" s="57" t="s">
        <v>59</v>
      </c>
      <c r="T321" s="51" t="s">
        <v>94</v>
      </c>
      <c r="U321" s="51">
        <v>3</v>
      </c>
      <c r="V321" s="51">
        <v>10</v>
      </c>
      <c r="W321" s="51">
        <v>3</v>
      </c>
      <c r="X321" s="51" t="s">
        <v>50</v>
      </c>
      <c r="Y321" s="57" t="s">
        <v>76</v>
      </c>
      <c r="Z321" s="58">
        <v>150.9</v>
      </c>
      <c r="AA321" s="57" t="s">
        <v>202</v>
      </c>
      <c r="AB321" s="59">
        <f t="shared" si="4"/>
        <v>45953</v>
      </c>
    </row>
    <row r="322" spans="1:28" ht="12.75">
      <c r="A322" s="56">
        <v>45953.77949296296</v>
      </c>
      <c r="B322" s="51" t="s">
        <v>525</v>
      </c>
      <c r="C322" s="51" t="s">
        <v>29</v>
      </c>
      <c r="D322" s="51" t="s">
        <v>30</v>
      </c>
      <c r="E322" s="51" t="s">
        <v>31</v>
      </c>
      <c r="F322" s="51" t="s">
        <v>53</v>
      </c>
      <c r="G322" s="51" t="s">
        <v>33</v>
      </c>
      <c r="H322" s="51">
        <v>25</v>
      </c>
      <c r="I322" s="51" t="s">
        <v>34</v>
      </c>
      <c r="J322" s="51" t="s">
        <v>35</v>
      </c>
      <c r="K322" s="51" t="s">
        <v>36</v>
      </c>
      <c r="L322" s="51" t="s">
        <v>113</v>
      </c>
      <c r="M322" s="51">
        <v>1</v>
      </c>
      <c r="N322" s="51">
        <v>1</v>
      </c>
      <c r="O322" s="52">
        <v>2.5</v>
      </c>
      <c r="P322" s="51">
        <v>1</v>
      </c>
      <c r="Q322" s="51">
        <v>4</v>
      </c>
      <c r="R322" s="51">
        <v>1</v>
      </c>
      <c r="S322" s="57" t="s">
        <v>55</v>
      </c>
      <c r="T322" s="51" t="s">
        <v>94</v>
      </c>
      <c r="U322" s="51">
        <v>1</v>
      </c>
      <c r="V322" s="51">
        <v>9</v>
      </c>
      <c r="W322" s="51">
        <v>3</v>
      </c>
      <c r="X322" s="51" t="s">
        <v>69</v>
      </c>
      <c r="Y322" s="57" t="s">
        <v>118</v>
      </c>
      <c r="Z322" s="58">
        <v>14.99</v>
      </c>
      <c r="AA322" s="57" t="s">
        <v>114</v>
      </c>
      <c r="AB322" s="59">
        <f t="shared" ref="AB322:AB350" si="5">INT(A322)</f>
        <v>45953</v>
      </c>
    </row>
    <row r="323" spans="1:28" ht="12.75">
      <c r="A323" s="56">
        <v>45953.826347372684</v>
      </c>
      <c r="B323" s="51" t="s">
        <v>526</v>
      </c>
      <c r="C323" s="51" t="s">
        <v>29</v>
      </c>
      <c r="D323" s="51" t="s">
        <v>30</v>
      </c>
      <c r="E323" s="51" t="s">
        <v>31</v>
      </c>
      <c r="F323" s="51" t="s">
        <v>53</v>
      </c>
      <c r="G323" s="51" t="s">
        <v>54</v>
      </c>
      <c r="H323" s="51">
        <v>25</v>
      </c>
      <c r="I323" s="51" t="s">
        <v>34</v>
      </c>
      <c r="J323" s="51" t="s">
        <v>64</v>
      </c>
      <c r="K323" s="51" t="s">
        <v>36</v>
      </c>
      <c r="L323" s="51" t="s">
        <v>113</v>
      </c>
      <c r="M323" s="51">
        <v>1</v>
      </c>
      <c r="N323" s="51">
        <v>1</v>
      </c>
      <c r="O323" s="52">
        <v>1.5</v>
      </c>
      <c r="P323" s="51">
        <v>1</v>
      </c>
      <c r="Q323" s="51">
        <v>4</v>
      </c>
      <c r="R323" s="51">
        <v>3</v>
      </c>
      <c r="S323" s="57" t="s">
        <v>75</v>
      </c>
      <c r="T323" s="51" t="s">
        <v>39</v>
      </c>
      <c r="U323" s="51">
        <v>1</v>
      </c>
      <c r="V323" s="51">
        <v>10</v>
      </c>
      <c r="W323" s="51">
        <v>2</v>
      </c>
      <c r="X323" s="51" t="s">
        <v>50</v>
      </c>
      <c r="Y323" s="57" t="s">
        <v>144</v>
      </c>
      <c r="Z323" s="58">
        <v>70.900000000000006</v>
      </c>
      <c r="AA323" s="57" t="s">
        <v>527</v>
      </c>
      <c r="AB323" s="59">
        <f t="shared" si="5"/>
        <v>45953</v>
      </c>
    </row>
    <row r="324" spans="1:28" ht="12.75">
      <c r="A324" s="56">
        <v>45954.502793321764</v>
      </c>
      <c r="B324" s="51" t="s">
        <v>528</v>
      </c>
      <c r="C324" s="51" t="s">
        <v>29</v>
      </c>
      <c r="D324" s="51" t="s">
        <v>30</v>
      </c>
      <c r="E324" s="51" t="s">
        <v>31</v>
      </c>
      <c r="F324" s="51" t="s">
        <v>44</v>
      </c>
      <c r="G324" s="51" t="s">
        <v>54</v>
      </c>
      <c r="H324" s="51">
        <v>25</v>
      </c>
      <c r="I324" s="51" t="s">
        <v>34</v>
      </c>
      <c r="J324" s="51" t="s">
        <v>35</v>
      </c>
      <c r="K324" s="51" t="s">
        <v>36</v>
      </c>
      <c r="L324" s="51" t="s">
        <v>37</v>
      </c>
      <c r="M324" s="51">
        <v>4</v>
      </c>
      <c r="N324" s="51">
        <v>4</v>
      </c>
      <c r="O324" s="52">
        <v>7</v>
      </c>
      <c r="P324" s="51">
        <v>2</v>
      </c>
      <c r="Q324" s="51">
        <v>5</v>
      </c>
      <c r="R324" s="51">
        <v>5</v>
      </c>
      <c r="S324" s="57" t="s">
        <v>355</v>
      </c>
      <c r="T324" s="51" t="s">
        <v>102</v>
      </c>
      <c r="U324" s="51">
        <v>5</v>
      </c>
      <c r="V324" s="51">
        <v>10</v>
      </c>
      <c r="W324" s="51">
        <v>3</v>
      </c>
      <c r="X324" s="51" t="s">
        <v>69</v>
      </c>
      <c r="Y324" s="57" t="s">
        <v>133</v>
      </c>
      <c r="Z324" s="58">
        <v>35</v>
      </c>
      <c r="AA324" s="57" t="s">
        <v>122</v>
      </c>
      <c r="AB324" s="59">
        <f t="shared" si="5"/>
        <v>45954</v>
      </c>
    </row>
    <row r="325" spans="1:28" ht="12.75">
      <c r="A325" s="56">
        <v>45954.543948125</v>
      </c>
      <c r="B325" s="51" t="s">
        <v>529</v>
      </c>
      <c r="C325" s="51" t="s">
        <v>29</v>
      </c>
      <c r="D325" s="51" t="s">
        <v>30</v>
      </c>
      <c r="E325" s="51" t="s">
        <v>31</v>
      </c>
      <c r="F325" s="51" t="s">
        <v>44</v>
      </c>
      <c r="G325" s="51" t="s">
        <v>54</v>
      </c>
      <c r="H325" s="51">
        <v>25</v>
      </c>
      <c r="I325" s="51" t="s">
        <v>99</v>
      </c>
      <c r="J325" s="51" t="s">
        <v>35</v>
      </c>
      <c r="K325" s="51" t="s">
        <v>36</v>
      </c>
      <c r="L325" s="51" t="s">
        <v>37</v>
      </c>
      <c r="M325" s="51">
        <v>4</v>
      </c>
      <c r="N325" s="51">
        <v>4</v>
      </c>
      <c r="O325" s="52">
        <v>6</v>
      </c>
      <c r="P325" s="51">
        <v>6</v>
      </c>
      <c r="Q325" s="51">
        <v>5</v>
      </c>
      <c r="R325" s="51">
        <v>5</v>
      </c>
      <c r="S325" s="57" t="s">
        <v>355</v>
      </c>
      <c r="T325" s="51" t="s">
        <v>94</v>
      </c>
      <c r="U325" s="51">
        <v>4</v>
      </c>
      <c r="V325" s="51">
        <v>10</v>
      </c>
      <c r="W325" s="51">
        <v>3</v>
      </c>
      <c r="X325" s="51" t="s">
        <v>69</v>
      </c>
      <c r="Y325" s="57" t="s">
        <v>65</v>
      </c>
      <c r="Z325" s="58">
        <v>35</v>
      </c>
      <c r="AA325" s="57" t="s">
        <v>77</v>
      </c>
      <c r="AB325" s="59">
        <f t="shared" si="5"/>
        <v>45954</v>
      </c>
    </row>
    <row r="326" spans="1:28" ht="12.75">
      <c r="A326" s="56">
        <v>45954.562121724535</v>
      </c>
      <c r="B326" s="51" t="s">
        <v>530</v>
      </c>
      <c r="C326" s="51" t="s">
        <v>29</v>
      </c>
      <c r="D326" s="51" t="s">
        <v>30</v>
      </c>
      <c r="E326" s="51" t="s">
        <v>31</v>
      </c>
      <c r="F326" s="51" t="s">
        <v>44</v>
      </c>
      <c r="G326" s="51" t="s">
        <v>54</v>
      </c>
      <c r="H326" s="51">
        <v>25</v>
      </c>
      <c r="I326" s="51" t="s">
        <v>531</v>
      </c>
      <c r="J326" s="51" t="s">
        <v>35</v>
      </c>
      <c r="K326" s="51" t="s">
        <v>36</v>
      </c>
      <c r="L326" s="51" t="s">
        <v>37</v>
      </c>
      <c r="M326" s="51">
        <v>3</v>
      </c>
      <c r="N326" s="51">
        <v>3</v>
      </c>
      <c r="O326" s="52">
        <v>4</v>
      </c>
      <c r="P326" s="51">
        <v>1</v>
      </c>
      <c r="Q326" s="51">
        <v>5</v>
      </c>
      <c r="R326" s="51">
        <v>5</v>
      </c>
      <c r="S326" s="57" t="s">
        <v>38</v>
      </c>
      <c r="T326" s="51" t="s">
        <v>39</v>
      </c>
      <c r="U326" s="51">
        <v>3</v>
      </c>
      <c r="V326" s="51">
        <v>10</v>
      </c>
      <c r="W326" s="51">
        <v>3</v>
      </c>
      <c r="X326" s="51" t="s">
        <v>69</v>
      </c>
      <c r="Y326" s="57" t="s">
        <v>177</v>
      </c>
      <c r="Z326" s="58">
        <v>20</v>
      </c>
      <c r="AA326" s="57" t="s">
        <v>122</v>
      </c>
      <c r="AB326" s="59">
        <f t="shared" si="5"/>
        <v>45954</v>
      </c>
    </row>
    <row r="327" spans="1:28" ht="12.75">
      <c r="A327" s="56">
        <v>45954.755657245369</v>
      </c>
      <c r="B327" s="51" t="s">
        <v>532</v>
      </c>
      <c r="C327" s="51" t="s">
        <v>29</v>
      </c>
      <c r="D327" s="51" t="s">
        <v>30</v>
      </c>
      <c r="E327" s="51" t="s">
        <v>31</v>
      </c>
      <c r="F327" s="51" t="s">
        <v>85</v>
      </c>
      <c r="G327" s="51" t="s">
        <v>33</v>
      </c>
      <c r="H327" s="51">
        <v>25</v>
      </c>
      <c r="I327" s="51" t="s">
        <v>34</v>
      </c>
      <c r="J327" s="51" t="s">
        <v>108</v>
      </c>
      <c r="K327" s="51" t="s">
        <v>90</v>
      </c>
      <c r="L327" s="51" t="s">
        <v>47</v>
      </c>
      <c r="M327" s="51">
        <v>1</v>
      </c>
      <c r="N327" s="51">
        <v>1</v>
      </c>
      <c r="O327" s="52">
        <v>0</v>
      </c>
      <c r="P327" s="51">
        <v>0</v>
      </c>
      <c r="Q327" s="51">
        <v>1</v>
      </c>
      <c r="R327" s="51">
        <v>1</v>
      </c>
      <c r="S327" s="57" t="s">
        <v>38</v>
      </c>
      <c r="T327" s="51" t="s">
        <v>81</v>
      </c>
      <c r="U327" s="51">
        <v>1</v>
      </c>
      <c r="V327" s="51">
        <v>5</v>
      </c>
      <c r="W327" s="51">
        <v>1</v>
      </c>
      <c r="X327" s="51" t="s">
        <v>40</v>
      </c>
      <c r="Y327" s="57" t="s">
        <v>82</v>
      </c>
      <c r="Z327" s="58">
        <v>0</v>
      </c>
      <c r="AA327" s="57" t="s">
        <v>51</v>
      </c>
      <c r="AB327" s="59">
        <f t="shared" si="5"/>
        <v>45954</v>
      </c>
    </row>
    <row r="328" spans="1:28" ht="12.75">
      <c r="A328" s="56">
        <v>45954.759242523149</v>
      </c>
      <c r="B328" s="51" t="s">
        <v>533</v>
      </c>
      <c r="C328" s="51" t="s">
        <v>29</v>
      </c>
      <c r="D328" s="51" t="s">
        <v>30</v>
      </c>
      <c r="E328" s="51" t="s">
        <v>31</v>
      </c>
      <c r="F328" s="51" t="s">
        <v>85</v>
      </c>
      <c r="G328" s="51" t="s">
        <v>54</v>
      </c>
      <c r="H328" s="51">
        <v>25</v>
      </c>
      <c r="I328" s="51" t="s">
        <v>34</v>
      </c>
      <c r="J328" s="51" t="s">
        <v>108</v>
      </c>
      <c r="K328" s="51" t="s">
        <v>36</v>
      </c>
      <c r="L328" s="51" t="s">
        <v>37</v>
      </c>
      <c r="M328" s="51">
        <v>3</v>
      </c>
      <c r="N328" s="51">
        <v>3</v>
      </c>
      <c r="O328" s="52">
        <v>2</v>
      </c>
      <c r="P328" s="51">
        <v>0</v>
      </c>
      <c r="Q328" s="51">
        <v>4</v>
      </c>
      <c r="R328" s="51">
        <v>3</v>
      </c>
      <c r="S328" s="57" t="s">
        <v>249</v>
      </c>
      <c r="T328" s="51" t="s">
        <v>94</v>
      </c>
      <c r="U328" s="51">
        <v>7</v>
      </c>
      <c r="V328" s="51">
        <v>8</v>
      </c>
      <c r="W328" s="51">
        <v>3</v>
      </c>
      <c r="X328" s="51" t="s">
        <v>40</v>
      </c>
      <c r="Y328" s="57" t="s">
        <v>109</v>
      </c>
      <c r="Z328" s="58">
        <v>0</v>
      </c>
      <c r="AA328" s="57" t="s">
        <v>128</v>
      </c>
      <c r="AB328" s="59">
        <f t="shared" si="5"/>
        <v>45954</v>
      </c>
    </row>
    <row r="329" spans="1:28" ht="12.75">
      <c r="A329" s="56">
        <v>45954.79409899305</v>
      </c>
      <c r="B329" s="51" t="s">
        <v>534</v>
      </c>
      <c r="C329" s="51" t="s">
        <v>29</v>
      </c>
      <c r="D329" s="51" t="s">
        <v>30</v>
      </c>
      <c r="E329" s="51" t="s">
        <v>31</v>
      </c>
      <c r="F329" s="51" t="s">
        <v>85</v>
      </c>
      <c r="G329" s="51" t="s">
        <v>54</v>
      </c>
      <c r="H329" s="51">
        <v>25</v>
      </c>
      <c r="I329" s="51" t="s">
        <v>34</v>
      </c>
      <c r="J329" s="51" t="s">
        <v>64</v>
      </c>
      <c r="K329" s="51" t="s">
        <v>36</v>
      </c>
      <c r="L329" s="51" t="s">
        <v>74</v>
      </c>
      <c r="M329" s="51">
        <v>2</v>
      </c>
      <c r="N329" s="51">
        <v>3</v>
      </c>
      <c r="O329" s="52">
        <v>1</v>
      </c>
      <c r="P329" s="51">
        <v>0</v>
      </c>
      <c r="Q329" s="51">
        <v>3</v>
      </c>
      <c r="R329" s="51">
        <v>1</v>
      </c>
      <c r="S329" s="57" t="s">
        <v>141</v>
      </c>
      <c r="T329" s="51" t="s">
        <v>49</v>
      </c>
      <c r="U329" s="51">
        <v>3</v>
      </c>
      <c r="V329" s="51">
        <v>8</v>
      </c>
      <c r="W329" s="51">
        <v>2</v>
      </c>
      <c r="X329" s="51" t="s">
        <v>50</v>
      </c>
      <c r="Y329" s="57" t="s">
        <v>262</v>
      </c>
      <c r="Z329" s="58">
        <v>0</v>
      </c>
      <c r="AA329" s="57" t="s">
        <v>71</v>
      </c>
      <c r="AB329" s="59">
        <f t="shared" si="5"/>
        <v>45954</v>
      </c>
    </row>
    <row r="330" spans="1:28" ht="12.75">
      <c r="A330" s="56">
        <v>45954.810728368058</v>
      </c>
      <c r="B330" s="51" t="s">
        <v>535</v>
      </c>
      <c r="C330" s="51" t="s">
        <v>29</v>
      </c>
      <c r="D330" s="51" t="s">
        <v>30</v>
      </c>
      <c r="E330" s="51" t="s">
        <v>31</v>
      </c>
      <c r="F330" s="51" t="s">
        <v>85</v>
      </c>
      <c r="G330" s="51" t="s">
        <v>33</v>
      </c>
      <c r="H330" s="51">
        <v>25</v>
      </c>
      <c r="I330" s="51" t="s">
        <v>34</v>
      </c>
      <c r="J330" s="51" t="s">
        <v>46</v>
      </c>
      <c r="K330" s="51" t="s">
        <v>36</v>
      </c>
      <c r="L330" s="51" t="s">
        <v>37</v>
      </c>
      <c r="M330" s="51">
        <v>3</v>
      </c>
      <c r="N330" s="51">
        <v>2</v>
      </c>
      <c r="O330" s="52">
        <v>3</v>
      </c>
      <c r="P330" s="51">
        <v>2</v>
      </c>
      <c r="Q330" s="51">
        <v>3</v>
      </c>
      <c r="R330" s="51">
        <v>2</v>
      </c>
      <c r="S330" s="57" t="s">
        <v>127</v>
      </c>
      <c r="T330" s="51" t="s">
        <v>49</v>
      </c>
      <c r="U330" s="51">
        <v>5</v>
      </c>
      <c r="V330" s="51">
        <v>7</v>
      </c>
      <c r="W330" s="51">
        <v>3</v>
      </c>
      <c r="X330" s="51" t="s">
        <v>69</v>
      </c>
      <c r="Y330" s="57" t="s">
        <v>262</v>
      </c>
      <c r="Z330" s="58">
        <v>0</v>
      </c>
      <c r="AA330" s="57" t="s">
        <v>536</v>
      </c>
      <c r="AB330" s="59">
        <f t="shared" si="5"/>
        <v>45954</v>
      </c>
    </row>
    <row r="331" spans="1:28" ht="12.75">
      <c r="A331" s="56">
        <v>45954.835482743059</v>
      </c>
      <c r="B331" s="51" t="s">
        <v>537</v>
      </c>
      <c r="C331" s="51" t="s">
        <v>29</v>
      </c>
      <c r="D331" s="51" t="s">
        <v>30</v>
      </c>
      <c r="E331" s="51" t="s">
        <v>31</v>
      </c>
      <c r="F331" s="51" t="s">
        <v>85</v>
      </c>
      <c r="G331" s="51" t="s">
        <v>54</v>
      </c>
      <c r="H331" s="51">
        <v>25</v>
      </c>
      <c r="I331" s="51" t="s">
        <v>34</v>
      </c>
      <c r="J331" s="51" t="s">
        <v>46</v>
      </c>
      <c r="K331" s="51" t="s">
        <v>90</v>
      </c>
      <c r="L331" s="51" t="s">
        <v>47</v>
      </c>
      <c r="M331" s="51">
        <v>1</v>
      </c>
      <c r="N331" s="51">
        <v>1</v>
      </c>
      <c r="O331" s="52">
        <v>0</v>
      </c>
      <c r="P331" s="51">
        <v>0</v>
      </c>
      <c r="Q331" s="51">
        <v>1</v>
      </c>
      <c r="R331" s="51">
        <v>1</v>
      </c>
      <c r="S331" s="57" t="s">
        <v>538</v>
      </c>
      <c r="T331" s="51" t="s">
        <v>81</v>
      </c>
      <c r="U331" s="51">
        <v>4</v>
      </c>
      <c r="V331" s="51">
        <v>7</v>
      </c>
      <c r="W331" s="51">
        <v>1</v>
      </c>
      <c r="X331" s="51" t="s">
        <v>40</v>
      </c>
      <c r="Y331" s="57" t="s">
        <v>246</v>
      </c>
      <c r="Z331" s="58">
        <v>0</v>
      </c>
      <c r="AA331" s="57" t="s">
        <v>539</v>
      </c>
      <c r="AB331" s="59">
        <f t="shared" si="5"/>
        <v>45954</v>
      </c>
    </row>
    <row r="332" spans="1:28" ht="12.75">
      <c r="A332" s="56">
        <v>45954.872297453709</v>
      </c>
      <c r="B332" s="51" t="s">
        <v>540</v>
      </c>
      <c r="C332" s="51" t="s">
        <v>29</v>
      </c>
      <c r="D332" s="51" t="s">
        <v>30</v>
      </c>
      <c r="E332" s="51" t="s">
        <v>31</v>
      </c>
      <c r="F332" s="51" t="s">
        <v>85</v>
      </c>
      <c r="G332" s="51" t="s">
        <v>33</v>
      </c>
      <c r="H332" s="51">
        <v>25</v>
      </c>
      <c r="I332" s="51" t="s">
        <v>34</v>
      </c>
      <c r="J332" s="51" t="s">
        <v>64</v>
      </c>
      <c r="K332" s="51" t="s">
        <v>36</v>
      </c>
      <c r="L332" s="51" t="s">
        <v>541</v>
      </c>
      <c r="M332" s="51">
        <v>3</v>
      </c>
      <c r="N332" s="51">
        <v>2</v>
      </c>
      <c r="O332" s="52">
        <v>3</v>
      </c>
      <c r="P332" s="51">
        <v>0</v>
      </c>
      <c r="Q332" s="51">
        <v>4</v>
      </c>
      <c r="R332" s="51">
        <v>3</v>
      </c>
      <c r="S332" s="57" t="s">
        <v>141</v>
      </c>
      <c r="T332" s="51" t="s">
        <v>49</v>
      </c>
      <c r="U332" s="51">
        <v>4</v>
      </c>
      <c r="V332" s="51">
        <v>8</v>
      </c>
      <c r="W332" s="51">
        <v>3</v>
      </c>
      <c r="X332" s="51" t="s">
        <v>50</v>
      </c>
      <c r="Y332" s="57" t="s">
        <v>95</v>
      </c>
      <c r="Z332" s="58">
        <v>0</v>
      </c>
      <c r="AA332" s="57" t="s">
        <v>190</v>
      </c>
      <c r="AB332" s="59">
        <f t="shared" si="5"/>
        <v>45954</v>
      </c>
    </row>
    <row r="333" spans="1:28" ht="12.75">
      <c r="A333" s="56">
        <v>45954.931830729169</v>
      </c>
      <c r="B333" s="51" t="s">
        <v>542</v>
      </c>
      <c r="C333" s="51" t="s">
        <v>29</v>
      </c>
      <c r="D333" s="51" t="s">
        <v>30</v>
      </c>
      <c r="E333" s="51" t="s">
        <v>31</v>
      </c>
      <c r="F333" s="51" t="s">
        <v>32</v>
      </c>
      <c r="G333" s="51" t="s">
        <v>33</v>
      </c>
      <c r="H333" s="51">
        <v>25</v>
      </c>
      <c r="I333" s="51" t="s">
        <v>34</v>
      </c>
      <c r="J333" s="51" t="s">
        <v>64</v>
      </c>
      <c r="K333" s="51" t="s">
        <v>36</v>
      </c>
      <c r="L333" s="51" t="s">
        <v>37</v>
      </c>
      <c r="M333" s="51">
        <v>1</v>
      </c>
      <c r="N333" s="51">
        <v>5</v>
      </c>
      <c r="O333" s="52">
        <v>15</v>
      </c>
      <c r="P333" s="51">
        <v>2</v>
      </c>
      <c r="Q333" s="51">
        <v>4</v>
      </c>
      <c r="R333" s="51">
        <v>5</v>
      </c>
      <c r="S333" s="57" t="s">
        <v>543</v>
      </c>
      <c r="T333" s="51" t="s">
        <v>39</v>
      </c>
      <c r="U333" s="51">
        <v>20</v>
      </c>
      <c r="V333" s="51">
        <v>10</v>
      </c>
      <c r="W333" s="51">
        <v>4</v>
      </c>
      <c r="X333" s="51" t="s">
        <v>50</v>
      </c>
      <c r="Y333" s="57" t="s">
        <v>339</v>
      </c>
      <c r="Z333" s="58">
        <v>35</v>
      </c>
      <c r="AA333" s="57" t="s">
        <v>114</v>
      </c>
      <c r="AB333" s="59">
        <f t="shared" si="5"/>
        <v>45954</v>
      </c>
    </row>
    <row r="334" spans="1:28" ht="12.75">
      <c r="A334" s="56">
        <v>45954.940197800926</v>
      </c>
      <c r="B334" s="51" t="s">
        <v>544</v>
      </c>
      <c r="C334" s="51" t="s">
        <v>29</v>
      </c>
      <c r="D334" s="51" t="s">
        <v>30</v>
      </c>
      <c r="E334" s="51" t="s">
        <v>31</v>
      </c>
      <c r="F334" s="51" t="s">
        <v>85</v>
      </c>
      <c r="G334" s="51" t="s">
        <v>54</v>
      </c>
      <c r="H334" s="51">
        <v>25</v>
      </c>
      <c r="I334" s="51" t="s">
        <v>34</v>
      </c>
      <c r="J334" s="51" t="s">
        <v>64</v>
      </c>
      <c r="K334" s="51" t="s">
        <v>36</v>
      </c>
      <c r="L334" s="51" t="s">
        <v>74</v>
      </c>
      <c r="M334" s="51">
        <v>2</v>
      </c>
      <c r="N334" s="51">
        <v>1</v>
      </c>
      <c r="O334" s="52">
        <v>0</v>
      </c>
      <c r="P334" s="51">
        <v>0</v>
      </c>
      <c r="Q334" s="51">
        <v>1</v>
      </c>
      <c r="R334" s="51">
        <v>1</v>
      </c>
      <c r="S334" s="57" t="s">
        <v>48</v>
      </c>
      <c r="T334" s="51" t="s">
        <v>81</v>
      </c>
      <c r="U334" s="51">
        <v>5</v>
      </c>
      <c r="V334" s="51">
        <v>7</v>
      </c>
      <c r="W334" s="51">
        <v>2</v>
      </c>
      <c r="X334" s="51" t="s">
        <v>60</v>
      </c>
      <c r="Y334" s="57" t="s">
        <v>262</v>
      </c>
      <c r="Z334" s="58">
        <v>0</v>
      </c>
      <c r="AA334" s="57" t="s">
        <v>190</v>
      </c>
      <c r="AB334" s="59">
        <f t="shared" si="5"/>
        <v>45954</v>
      </c>
    </row>
    <row r="335" spans="1:28" ht="12.75">
      <c r="A335" s="56">
        <v>45951.955836527777</v>
      </c>
      <c r="B335" s="51" t="s">
        <v>545</v>
      </c>
      <c r="C335" s="51" t="s">
        <v>29</v>
      </c>
      <c r="D335" s="51" t="s">
        <v>30</v>
      </c>
      <c r="E335" s="51" t="s">
        <v>31</v>
      </c>
      <c r="F335" s="51" t="s">
        <v>53</v>
      </c>
      <c r="G335" s="51" t="s">
        <v>33</v>
      </c>
      <c r="H335" s="51">
        <v>26</v>
      </c>
      <c r="I335" s="51" t="s">
        <v>34</v>
      </c>
      <c r="J335" s="51" t="s">
        <v>46</v>
      </c>
      <c r="K335" s="51" t="s">
        <v>36</v>
      </c>
      <c r="L335" s="51" t="s">
        <v>37</v>
      </c>
      <c r="M335" s="51">
        <v>2</v>
      </c>
      <c r="N335" s="51">
        <v>2</v>
      </c>
      <c r="O335" s="52">
        <v>15</v>
      </c>
      <c r="P335" s="51">
        <v>0</v>
      </c>
      <c r="Q335" s="51">
        <v>5</v>
      </c>
      <c r="R335" s="51">
        <v>5</v>
      </c>
      <c r="S335" s="57" t="s">
        <v>546</v>
      </c>
      <c r="T335" s="51" t="s">
        <v>94</v>
      </c>
      <c r="U335" s="51">
        <v>4</v>
      </c>
      <c r="V335" s="51">
        <v>10</v>
      </c>
      <c r="W335" s="51">
        <v>3</v>
      </c>
      <c r="X335" s="51" t="s">
        <v>50</v>
      </c>
      <c r="Y335" s="57" t="s">
        <v>109</v>
      </c>
      <c r="Z335" s="58">
        <v>2000</v>
      </c>
      <c r="AA335" s="57" t="s">
        <v>174</v>
      </c>
      <c r="AB335" s="59">
        <f t="shared" si="5"/>
        <v>45951</v>
      </c>
    </row>
    <row r="336" spans="1:28" ht="12.75">
      <c r="A336" s="56">
        <v>45951.970820451388</v>
      </c>
      <c r="B336" s="51" t="s">
        <v>547</v>
      </c>
      <c r="C336" s="51" t="s">
        <v>29</v>
      </c>
      <c r="D336" s="51" t="s">
        <v>30</v>
      </c>
      <c r="E336" s="51" t="s">
        <v>31</v>
      </c>
      <c r="F336" s="51" t="s">
        <v>53</v>
      </c>
      <c r="G336" s="51" t="s">
        <v>33</v>
      </c>
      <c r="H336" s="51">
        <v>26</v>
      </c>
      <c r="I336" s="51" t="s">
        <v>34</v>
      </c>
      <c r="J336" s="51" t="s">
        <v>46</v>
      </c>
      <c r="K336" s="51" t="s">
        <v>36</v>
      </c>
      <c r="L336" s="51" t="s">
        <v>47</v>
      </c>
      <c r="M336" s="51">
        <v>1</v>
      </c>
      <c r="N336" s="51">
        <v>1</v>
      </c>
      <c r="O336" s="52">
        <v>2</v>
      </c>
      <c r="P336" s="51">
        <v>0</v>
      </c>
      <c r="Q336" s="51">
        <v>4</v>
      </c>
      <c r="R336" s="51">
        <v>2</v>
      </c>
      <c r="S336" s="57" t="s">
        <v>91</v>
      </c>
      <c r="T336" s="51" t="s">
        <v>39</v>
      </c>
      <c r="U336" s="51">
        <v>3</v>
      </c>
      <c r="V336" s="51">
        <v>10</v>
      </c>
      <c r="W336" s="51">
        <v>3</v>
      </c>
      <c r="X336" s="51" t="s">
        <v>50</v>
      </c>
      <c r="Y336" s="57" t="s">
        <v>109</v>
      </c>
      <c r="Z336" s="58">
        <v>250.75</v>
      </c>
      <c r="AA336" s="57" t="s">
        <v>139</v>
      </c>
      <c r="AB336" s="59">
        <f t="shared" si="5"/>
        <v>45951</v>
      </c>
    </row>
    <row r="337" spans="1:28" ht="12.75">
      <c r="A337" s="56">
        <v>45952.891823680555</v>
      </c>
      <c r="B337" s="51" t="s">
        <v>548</v>
      </c>
      <c r="C337" s="51" t="s">
        <v>29</v>
      </c>
      <c r="D337" s="51" t="s">
        <v>30</v>
      </c>
      <c r="E337" s="51" t="s">
        <v>31</v>
      </c>
      <c r="F337" s="51" t="s">
        <v>53</v>
      </c>
      <c r="G337" s="51" t="s">
        <v>54</v>
      </c>
      <c r="H337" s="51">
        <v>26</v>
      </c>
      <c r="I337" s="51" t="s">
        <v>34</v>
      </c>
      <c r="J337" s="51" t="s">
        <v>35</v>
      </c>
      <c r="K337" s="51" t="s">
        <v>36</v>
      </c>
      <c r="L337" s="51" t="s">
        <v>37</v>
      </c>
      <c r="M337" s="51">
        <v>3</v>
      </c>
      <c r="N337" s="51">
        <v>2</v>
      </c>
      <c r="O337" s="52">
        <v>20.399999999999999</v>
      </c>
      <c r="P337" s="51">
        <v>1</v>
      </c>
      <c r="Q337" s="51">
        <v>5</v>
      </c>
      <c r="R337" s="51">
        <v>4</v>
      </c>
      <c r="S337" s="57" t="s">
        <v>207</v>
      </c>
      <c r="T337" s="51" t="s">
        <v>94</v>
      </c>
      <c r="U337" s="51">
        <v>2</v>
      </c>
      <c r="V337" s="51">
        <v>10</v>
      </c>
      <c r="W337" s="51">
        <v>3</v>
      </c>
      <c r="X337" s="51" t="s">
        <v>69</v>
      </c>
      <c r="Y337" s="57" t="s">
        <v>106</v>
      </c>
      <c r="Z337" s="58">
        <v>20.6</v>
      </c>
      <c r="AA337" s="57" t="s">
        <v>549</v>
      </c>
      <c r="AB337" s="59">
        <f t="shared" si="5"/>
        <v>45952</v>
      </c>
    </row>
    <row r="338" spans="1:28" ht="12.75">
      <c r="A338" s="56">
        <v>45953.024492673612</v>
      </c>
      <c r="B338" s="51" t="s">
        <v>550</v>
      </c>
      <c r="C338" s="51" t="s">
        <v>29</v>
      </c>
      <c r="D338" s="51" t="s">
        <v>30</v>
      </c>
      <c r="E338" s="51" t="s">
        <v>31</v>
      </c>
      <c r="F338" s="51" t="s">
        <v>32</v>
      </c>
      <c r="G338" s="51" t="s">
        <v>54</v>
      </c>
      <c r="H338" s="51">
        <v>26</v>
      </c>
      <c r="I338" s="51" t="s">
        <v>99</v>
      </c>
      <c r="J338" s="51" t="s">
        <v>79</v>
      </c>
      <c r="K338" s="51" t="s">
        <v>36</v>
      </c>
      <c r="L338" s="51" t="s">
        <v>113</v>
      </c>
      <c r="M338" s="51">
        <v>3</v>
      </c>
      <c r="N338" s="51">
        <v>5</v>
      </c>
      <c r="O338" s="52">
        <v>7</v>
      </c>
      <c r="P338" s="51">
        <v>1</v>
      </c>
      <c r="Q338" s="51">
        <v>4</v>
      </c>
      <c r="R338" s="51">
        <v>5</v>
      </c>
      <c r="S338" s="57" t="s">
        <v>192</v>
      </c>
      <c r="T338" s="51" t="s">
        <v>39</v>
      </c>
      <c r="U338" s="51">
        <v>13</v>
      </c>
      <c r="V338" s="51">
        <v>9</v>
      </c>
      <c r="W338" s="51">
        <v>2</v>
      </c>
      <c r="X338" s="51" t="s">
        <v>40</v>
      </c>
      <c r="Y338" s="57" t="s">
        <v>275</v>
      </c>
      <c r="Z338" s="58">
        <v>40</v>
      </c>
      <c r="AA338" s="57" t="s">
        <v>104</v>
      </c>
      <c r="AB338" s="59">
        <f t="shared" si="5"/>
        <v>45953</v>
      </c>
    </row>
    <row r="339" spans="1:28" ht="12.75">
      <c r="A339" s="56">
        <v>45953.422757083332</v>
      </c>
      <c r="B339" s="51" t="s">
        <v>551</v>
      </c>
      <c r="C339" s="51" t="s">
        <v>29</v>
      </c>
      <c r="D339" s="51" t="s">
        <v>30</v>
      </c>
      <c r="E339" s="51" t="s">
        <v>31</v>
      </c>
      <c r="F339" s="51" t="s">
        <v>53</v>
      </c>
      <c r="G339" s="51" t="s">
        <v>33</v>
      </c>
      <c r="H339" s="51">
        <v>26</v>
      </c>
      <c r="I339" s="51" t="s">
        <v>34</v>
      </c>
      <c r="J339" s="51" t="s">
        <v>46</v>
      </c>
      <c r="K339" s="51" t="s">
        <v>36</v>
      </c>
      <c r="L339" s="51" t="s">
        <v>68</v>
      </c>
      <c r="M339" s="51">
        <v>3</v>
      </c>
      <c r="N339" s="51">
        <v>2</v>
      </c>
      <c r="O339" s="52">
        <v>11.75</v>
      </c>
      <c r="P339" s="51">
        <v>1</v>
      </c>
      <c r="Q339" s="51">
        <v>5</v>
      </c>
      <c r="R339" s="51">
        <v>2</v>
      </c>
      <c r="S339" s="57" t="s">
        <v>141</v>
      </c>
      <c r="T339" s="51" t="s">
        <v>94</v>
      </c>
      <c r="U339" s="51">
        <v>3</v>
      </c>
      <c r="V339" s="51">
        <v>10</v>
      </c>
      <c r="W339" s="51">
        <v>2</v>
      </c>
      <c r="X339" s="51" t="s">
        <v>69</v>
      </c>
      <c r="Y339" s="57" t="s">
        <v>241</v>
      </c>
      <c r="Z339" s="58">
        <v>150.99</v>
      </c>
      <c r="AA339" s="57" t="s">
        <v>167</v>
      </c>
      <c r="AB339" s="59">
        <f t="shared" si="5"/>
        <v>45953</v>
      </c>
    </row>
    <row r="340" spans="1:28" ht="12.75">
      <c r="A340" s="56">
        <v>45954.742036770833</v>
      </c>
      <c r="B340" s="51" t="s">
        <v>552</v>
      </c>
      <c r="C340" s="51" t="s">
        <v>29</v>
      </c>
      <c r="D340" s="51" t="s">
        <v>30</v>
      </c>
      <c r="E340" s="51" t="s">
        <v>31</v>
      </c>
      <c r="F340" s="51" t="s">
        <v>85</v>
      </c>
      <c r="G340" s="51" t="s">
        <v>54</v>
      </c>
      <c r="H340" s="51">
        <v>26</v>
      </c>
      <c r="I340" s="51" t="s">
        <v>45</v>
      </c>
      <c r="J340" s="51" t="s">
        <v>46</v>
      </c>
      <c r="K340" s="51" t="s">
        <v>36</v>
      </c>
      <c r="L340" s="51" t="s">
        <v>74</v>
      </c>
      <c r="M340" s="51">
        <v>2</v>
      </c>
      <c r="N340" s="51">
        <v>2</v>
      </c>
      <c r="O340" s="52">
        <v>1</v>
      </c>
      <c r="P340" s="51">
        <v>0</v>
      </c>
      <c r="Q340" s="51">
        <v>2</v>
      </c>
      <c r="R340" s="51">
        <v>1</v>
      </c>
      <c r="S340" s="57" t="s">
        <v>48</v>
      </c>
      <c r="T340" s="51" t="s">
        <v>81</v>
      </c>
      <c r="U340" s="51">
        <v>6</v>
      </c>
      <c r="V340" s="51">
        <v>8</v>
      </c>
      <c r="W340" s="51">
        <v>3</v>
      </c>
      <c r="X340" s="51" t="s">
        <v>60</v>
      </c>
      <c r="Y340" s="57" t="s">
        <v>201</v>
      </c>
      <c r="Z340" s="58">
        <v>0</v>
      </c>
      <c r="AA340" s="57" t="s">
        <v>536</v>
      </c>
      <c r="AB340" s="59">
        <f t="shared" si="5"/>
        <v>45954</v>
      </c>
    </row>
    <row r="341" spans="1:28" ht="12.75">
      <c r="A341" s="56">
        <v>45954.757139351852</v>
      </c>
      <c r="B341" s="51" t="s">
        <v>553</v>
      </c>
      <c r="C341" s="51" t="s">
        <v>29</v>
      </c>
      <c r="D341" s="51" t="s">
        <v>30</v>
      </c>
      <c r="E341" s="51" t="s">
        <v>31</v>
      </c>
      <c r="F341" s="51" t="s">
        <v>85</v>
      </c>
      <c r="G341" s="51" t="s">
        <v>54</v>
      </c>
      <c r="H341" s="51">
        <v>26</v>
      </c>
      <c r="I341" s="51" t="s">
        <v>34</v>
      </c>
      <c r="J341" s="51" t="s">
        <v>108</v>
      </c>
      <c r="K341" s="51" t="s">
        <v>36</v>
      </c>
      <c r="L341" s="51" t="s">
        <v>74</v>
      </c>
      <c r="M341" s="51">
        <v>2</v>
      </c>
      <c r="N341" s="51">
        <v>2</v>
      </c>
      <c r="O341" s="52">
        <v>1</v>
      </c>
      <c r="P341" s="51">
        <v>0</v>
      </c>
      <c r="Q341" s="51">
        <v>3</v>
      </c>
      <c r="R341" s="51">
        <v>3</v>
      </c>
      <c r="S341" s="57" t="s">
        <v>449</v>
      </c>
      <c r="T341" s="51" t="s">
        <v>49</v>
      </c>
      <c r="U341" s="51">
        <v>6</v>
      </c>
      <c r="V341" s="51">
        <v>8</v>
      </c>
      <c r="W341" s="51">
        <v>2</v>
      </c>
      <c r="X341" s="51" t="s">
        <v>40</v>
      </c>
      <c r="Y341" s="57" t="s">
        <v>109</v>
      </c>
      <c r="Z341" s="58">
        <v>0</v>
      </c>
      <c r="AA341" s="57" t="s">
        <v>250</v>
      </c>
      <c r="AB341" s="59">
        <f t="shared" si="5"/>
        <v>45954</v>
      </c>
    </row>
    <row r="342" spans="1:28" ht="12.75">
      <c r="A342" s="56">
        <v>45954.812369374995</v>
      </c>
      <c r="B342" s="51" t="s">
        <v>554</v>
      </c>
      <c r="C342" s="51" t="s">
        <v>29</v>
      </c>
      <c r="D342" s="51" t="s">
        <v>30</v>
      </c>
      <c r="E342" s="51" t="s">
        <v>31</v>
      </c>
      <c r="F342" s="51" t="s">
        <v>85</v>
      </c>
      <c r="G342" s="51" t="s">
        <v>33</v>
      </c>
      <c r="H342" s="51">
        <v>26</v>
      </c>
      <c r="I342" s="51" t="s">
        <v>34</v>
      </c>
      <c r="J342" s="51" t="s">
        <v>46</v>
      </c>
      <c r="K342" s="51" t="s">
        <v>36</v>
      </c>
      <c r="L342" s="51" t="s">
        <v>100</v>
      </c>
      <c r="M342" s="51">
        <v>3</v>
      </c>
      <c r="N342" s="51">
        <v>3</v>
      </c>
      <c r="O342" s="52">
        <v>3</v>
      </c>
      <c r="P342" s="51">
        <v>0</v>
      </c>
      <c r="Q342" s="51">
        <v>3</v>
      </c>
      <c r="R342" s="51">
        <v>2</v>
      </c>
      <c r="S342" s="57" t="s">
        <v>125</v>
      </c>
      <c r="T342" s="51" t="s">
        <v>81</v>
      </c>
      <c r="U342" s="51">
        <v>8</v>
      </c>
      <c r="V342" s="51">
        <v>9</v>
      </c>
      <c r="W342" s="51">
        <v>2</v>
      </c>
      <c r="X342" s="51" t="s">
        <v>40</v>
      </c>
      <c r="Y342" s="57" t="s">
        <v>231</v>
      </c>
      <c r="Z342" s="58">
        <v>30</v>
      </c>
      <c r="AA342" s="57" t="s">
        <v>409</v>
      </c>
      <c r="AB342" s="59">
        <f t="shared" si="5"/>
        <v>45954</v>
      </c>
    </row>
    <row r="343" spans="1:28" ht="12.75">
      <c r="A343" s="56">
        <v>45954.858679363431</v>
      </c>
      <c r="B343" s="51" t="s">
        <v>555</v>
      </c>
      <c r="C343" s="51" t="s">
        <v>29</v>
      </c>
      <c r="D343" s="51" t="s">
        <v>30</v>
      </c>
      <c r="E343" s="51" t="s">
        <v>31</v>
      </c>
      <c r="F343" s="51" t="s">
        <v>85</v>
      </c>
      <c r="G343" s="51" t="s">
        <v>54</v>
      </c>
      <c r="H343" s="51">
        <v>26</v>
      </c>
      <c r="I343" s="51" t="s">
        <v>34</v>
      </c>
      <c r="J343" s="51" t="s">
        <v>79</v>
      </c>
      <c r="K343" s="51" t="s">
        <v>36</v>
      </c>
      <c r="L343" s="51" t="s">
        <v>68</v>
      </c>
      <c r="M343" s="51">
        <v>3</v>
      </c>
      <c r="N343" s="51">
        <v>3</v>
      </c>
      <c r="O343" s="52">
        <v>14</v>
      </c>
      <c r="P343" s="51">
        <v>1</v>
      </c>
      <c r="Q343" s="51">
        <v>4</v>
      </c>
      <c r="R343" s="51">
        <v>3</v>
      </c>
      <c r="S343" s="57" t="s">
        <v>141</v>
      </c>
      <c r="T343" s="51" t="s">
        <v>49</v>
      </c>
      <c r="U343" s="51">
        <v>4</v>
      </c>
      <c r="V343" s="51">
        <v>10</v>
      </c>
      <c r="W343" s="51">
        <v>3</v>
      </c>
      <c r="X343" s="51" t="s">
        <v>40</v>
      </c>
      <c r="Y343" s="57" t="s">
        <v>262</v>
      </c>
      <c r="Z343" s="58">
        <v>0</v>
      </c>
      <c r="AA343" s="57" t="s">
        <v>174</v>
      </c>
      <c r="AB343" s="59">
        <f t="shared" si="5"/>
        <v>45954</v>
      </c>
    </row>
    <row r="344" spans="1:28" ht="12.75">
      <c r="A344" s="56">
        <v>45954.87792806713</v>
      </c>
      <c r="B344" s="51" t="s">
        <v>556</v>
      </c>
      <c r="C344" s="51" t="s">
        <v>29</v>
      </c>
      <c r="D344" s="51" t="s">
        <v>30</v>
      </c>
      <c r="E344" s="51" t="s">
        <v>31</v>
      </c>
      <c r="F344" s="51" t="s">
        <v>32</v>
      </c>
      <c r="G344" s="51" t="s">
        <v>54</v>
      </c>
      <c r="H344" s="51">
        <v>26</v>
      </c>
      <c r="I344" s="51" t="s">
        <v>34</v>
      </c>
      <c r="J344" s="51" t="s">
        <v>64</v>
      </c>
      <c r="K344" s="51" t="s">
        <v>36</v>
      </c>
      <c r="L344" s="51" t="s">
        <v>68</v>
      </c>
      <c r="M344" s="51">
        <v>3</v>
      </c>
      <c r="N344" s="51">
        <v>2</v>
      </c>
      <c r="O344" s="52">
        <v>1</v>
      </c>
      <c r="P344" s="51">
        <v>0</v>
      </c>
      <c r="Q344" s="51">
        <v>5</v>
      </c>
      <c r="R344" s="51">
        <v>5</v>
      </c>
      <c r="S344" s="57" t="s">
        <v>146</v>
      </c>
      <c r="T344" s="51" t="s">
        <v>39</v>
      </c>
      <c r="U344" s="51">
        <v>3</v>
      </c>
      <c r="V344" s="51">
        <v>8</v>
      </c>
      <c r="W344" s="51">
        <v>1</v>
      </c>
      <c r="X344" s="51" t="s">
        <v>69</v>
      </c>
      <c r="Y344" s="57" t="s">
        <v>95</v>
      </c>
      <c r="Z344" s="58">
        <v>300</v>
      </c>
      <c r="AA344" s="57" t="s">
        <v>250</v>
      </c>
      <c r="AB344" s="59">
        <f t="shared" si="5"/>
        <v>45954</v>
      </c>
    </row>
    <row r="345" spans="1:28" ht="12.75">
      <c r="A345" s="56">
        <v>45953.39274289352</v>
      </c>
      <c r="B345" s="51" t="s">
        <v>557</v>
      </c>
      <c r="C345" s="51" t="s">
        <v>29</v>
      </c>
      <c r="D345" s="51" t="s">
        <v>30</v>
      </c>
      <c r="E345" s="51" t="s">
        <v>31</v>
      </c>
      <c r="F345" s="51" t="s">
        <v>53</v>
      </c>
      <c r="G345" s="51" t="s">
        <v>54</v>
      </c>
      <c r="H345" s="51">
        <v>27</v>
      </c>
      <c r="I345" s="51" t="s">
        <v>34</v>
      </c>
      <c r="J345" s="51" t="s">
        <v>35</v>
      </c>
      <c r="K345" s="51" t="s">
        <v>36</v>
      </c>
      <c r="L345" s="51" t="s">
        <v>68</v>
      </c>
      <c r="M345" s="51">
        <v>3</v>
      </c>
      <c r="N345" s="51">
        <v>2</v>
      </c>
      <c r="O345" s="52">
        <v>10.75</v>
      </c>
      <c r="P345" s="51">
        <v>1</v>
      </c>
      <c r="Q345" s="51">
        <v>5</v>
      </c>
      <c r="R345" s="51">
        <v>3</v>
      </c>
      <c r="S345" s="57" t="s">
        <v>75</v>
      </c>
      <c r="T345" s="51" t="s">
        <v>49</v>
      </c>
      <c r="U345" s="51">
        <v>4</v>
      </c>
      <c r="V345" s="51">
        <v>10</v>
      </c>
      <c r="W345" s="51">
        <v>3</v>
      </c>
      <c r="X345" s="51" t="s">
        <v>50</v>
      </c>
      <c r="Y345" s="57" t="s">
        <v>61</v>
      </c>
      <c r="Z345" s="58">
        <v>19.989999999999998</v>
      </c>
      <c r="AA345" s="57" t="s">
        <v>213</v>
      </c>
      <c r="AB345" s="59">
        <f t="shared" si="5"/>
        <v>45953</v>
      </c>
    </row>
    <row r="346" spans="1:28" ht="12.75">
      <c r="A346" s="56">
        <v>45953.658428055554</v>
      </c>
      <c r="B346" s="51" t="s">
        <v>558</v>
      </c>
      <c r="C346" s="51" t="s">
        <v>29</v>
      </c>
      <c r="D346" s="51" t="s">
        <v>30</v>
      </c>
      <c r="E346" s="51" t="s">
        <v>31</v>
      </c>
      <c r="F346" s="51" t="s">
        <v>32</v>
      </c>
      <c r="G346" s="51" t="s">
        <v>54</v>
      </c>
      <c r="H346" s="51">
        <v>27</v>
      </c>
      <c r="I346" s="51" t="s">
        <v>34</v>
      </c>
      <c r="J346" s="51" t="s">
        <v>64</v>
      </c>
      <c r="K346" s="51" t="s">
        <v>36</v>
      </c>
      <c r="L346" s="51" t="s">
        <v>74</v>
      </c>
      <c r="M346" s="51">
        <v>1</v>
      </c>
      <c r="N346" s="51">
        <v>3</v>
      </c>
      <c r="O346" s="52">
        <v>0</v>
      </c>
      <c r="P346" s="51">
        <v>0</v>
      </c>
      <c r="Q346" s="51">
        <v>1</v>
      </c>
      <c r="R346" s="51">
        <v>1</v>
      </c>
      <c r="S346" s="57" t="s">
        <v>80</v>
      </c>
      <c r="T346" s="51" t="s">
        <v>81</v>
      </c>
      <c r="U346" s="51">
        <v>8</v>
      </c>
      <c r="V346" s="51">
        <v>2</v>
      </c>
      <c r="W346" s="51">
        <v>1</v>
      </c>
      <c r="X346" s="51" t="s">
        <v>60</v>
      </c>
      <c r="Y346" s="57" t="s">
        <v>177</v>
      </c>
      <c r="Z346" s="58">
        <v>0</v>
      </c>
      <c r="AA346" s="57" t="s">
        <v>190</v>
      </c>
      <c r="AB346" s="59">
        <f t="shared" si="5"/>
        <v>45953</v>
      </c>
    </row>
    <row r="347" spans="1:28" ht="12.75">
      <c r="A347" s="56">
        <v>45954.820136168986</v>
      </c>
      <c r="B347" s="51" t="s">
        <v>559</v>
      </c>
      <c r="C347" s="51" t="s">
        <v>29</v>
      </c>
      <c r="D347" s="51" t="s">
        <v>30</v>
      </c>
      <c r="E347" s="51" t="s">
        <v>31</v>
      </c>
      <c r="F347" s="51" t="s">
        <v>85</v>
      </c>
      <c r="G347" s="51" t="s">
        <v>54</v>
      </c>
      <c r="H347" s="51">
        <v>28</v>
      </c>
      <c r="I347" s="51" t="s">
        <v>34</v>
      </c>
      <c r="J347" s="51" t="s">
        <v>79</v>
      </c>
      <c r="K347" s="51" t="s">
        <v>36</v>
      </c>
      <c r="L347" s="51" t="s">
        <v>68</v>
      </c>
      <c r="M347" s="51">
        <v>4</v>
      </c>
      <c r="N347" s="51">
        <v>3</v>
      </c>
      <c r="O347" s="52">
        <v>47</v>
      </c>
      <c r="P347" s="51">
        <v>8</v>
      </c>
      <c r="Q347" s="51">
        <v>5</v>
      </c>
      <c r="R347" s="51">
        <v>5</v>
      </c>
      <c r="S347" s="57" t="s">
        <v>141</v>
      </c>
      <c r="T347" s="51" t="s">
        <v>39</v>
      </c>
      <c r="U347" s="51">
        <v>9</v>
      </c>
      <c r="V347" s="51">
        <v>10</v>
      </c>
      <c r="W347" s="51">
        <v>2</v>
      </c>
      <c r="X347" s="51" t="s">
        <v>40</v>
      </c>
      <c r="Y347" s="57" t="s">
        <v>95</v>
      </c>
      <c r="Z347" s="58">
        <v>500</v>
      </c>
      <c r="AA347" s="57" t="s">
        <v>190</v>
      </c>
      <c r="AB347" s="59">
        <f t="shared" si="5"/>
        <v>45954</v>
      </c>
    </row>
    <row r="348" spans="1:28" ht="12.75">
      <c r="A348" s="56">
        <v>45953.561682962958</v>
      </c>
      <c r="B348" s="51" t="s">
        <v>560</v>
      </c>
      <c r="C348" s="51" t="s">
        <v>29</v>
      </c>
      <c r="D348" s="51" t="s">
        <v>30</v>
      </c>
      <c r="E348" s="51" t="s">
        <v>31</v>
      </c>
      <c r="F348" s="51" t="s">
        <v>53</v>
      </c>
      <c r="G348" s="51" t="s">
        <v>33</v>
      </c>
      <c r="H348" s="51">
        <v>30</v>
      </c>
      <c r="I348" s="51" t="s">
        <v>34</v>
      </c>
      <c r="J348" s="51" t="s">
        <v>46</v>
      </c>
      <c r="K348" s="51" t="s">
        <v>36</v>
      </c>
      <c r="L348" s="51" t="s">
        <v>113</v>
      </c>
      <c r="M348" s="51">
        <v>3</v>
      </c>
      <c r="N348" s="51">
        <v>3</v>
      </c>
      <c r="O348" s="52">
        <v>25.5</v>
      </c>
      <c r="P348" s="51">
        <v>1</v>
      </c>
      <c r="Q348" s="51">
        <v>5</v>
      </c>
      <c r="R348" s="51">
        <v>2</v>
      </c>
      <c r="S348" s="57" t="s">
        <v>48</v>
      </c>
      <c r="T348" s="51" t="s">
        <v>94</v>
      </c>
      <c r="U348" s="51">
        <v>5</v>
      </c>
      <c r="V348" s="51">
        <v>10</v>
      </c>
      <c r="W348" s="51">
        <v>3</v>
      </c>
      <c r="X348" s="51" t="s">
        <v>69</v>
      </c>
      <c r="Y348" s="57" t="s">
        <v>133</v>
      </c>
      <c r="Z348" s="58">
        <v>20</v>
      </c>
      <c r="AA348" s="57" t="s">
        <v>66</v>
      </c>
      <c r="AB348" s="59">
        <f t="shared" si="5"/>
        <v>45953</v>
      </c>
    </row>
    <row r="349" spans="1:28" ht="12.75">
      <c r="A349" s="56">
        <v>45954.807435509254</v>
      </c>
      <c r="B349" s="51" t="s">
        <v>561</v>
      </c>
      <c r="C349" s="51" t="s">
        <v>29</v>
      </c>
      <c r="D349" s="51" t="s">
        <v>30</v>
      </c>
      <c r="E349" s="51" t="s">
        <v>31</v>
      </c>
      <c r="F349" s="51" t="s">
        <v>85</v>
      </c>
      <c r="G349" s="51" t="s">
        <v>54</v>
      </c>
      <c r="H349" s="51">
        <v>31</v>
      </c>
      <c r="I349" s="51" t="s">
        <v>34</v>
      </c>
      <c r="J349" s="51" t="s">
        <v>35</v>
      </c>
      <c r="K349" s="51" t="s">
        <v>36</v>
      </c>
      <c r="L349" s="51" t="s">
        <v>100</v>
      </c>
      <c r="M349" s="51">
        <v>2</v>
      </c>
      <c r="N349" s="51">
        <v>1</v>
      </c>
      <c r="O349" s="52">
        <v>1</v>
      </c>
      <c r="P349" s="51">
        <v>0</v>
      </c>
      <c r="Q349" s="51">
        <v>1</v>
      </c>
      <c r="R349" s="51">
        <v>1</v>
      </c>
      <c r="S349" s="57" t="s">
        <v>562</v>
      </c>
      <c r="T349" s="51" t="s">
        <v>81</v>
      </c>
      <c r="U349" s="51">
        <v>20</v>
      </c>
      <c r="V349" s="51">
        <v>8</v>
      </c>
      <c r="W349" s="51">
        <v>2</v>
      </c>
      <c r="X349" s="51" t="s">
        <v>40</v>
      </c>
      <c r="Y349" s="57" t="s">
        <v>563</v>
      </c>
      <c r="Z349" s="58">
        <v>0</v>
      </c>
      <c r="AA349" s="57" t="s">
        <v>564</v>
      </c>
      <c r="AB349" s="59">
        <f t="shared" si="5"/>
        <v>45954</v>
      </c>
    </row>
    <row r="350" spans="1:28" ht="12.75">
      <c r="A350" s="56">
        <v>45951.957989166665</v>
      </c>
      <c r="B350" s="51" t="s">
        <v>565</v>
      </c>
      <c r="C350" s="51" t="s">
        <v>29</v>
      </c>
      <c r="D350" s="51" t="s">
        <v>30</v>
      </c>
      <c r="E350" s="51" t="s">
        <v>31</v>
      </c>
      <c r="F350" s="51" t="s">
        <v>53</v>
      </c>
      <c r="G350" s="51" t="s">
        <v>54</v>
      </c>
      <c r="H350" s="51">
        <v>35</v>
      </c>
      <c r="I350" s="51" t="s">
        <v>34</v>
      </c>
      <c r="J350" s="51" t="s">
        <v>46</v>
      </c>
      <c r="K350" s="51" t="s">
        <v>36</v>
      </c>
      <c r="L350" s="51" t="s">
        <v>74</v>
      </c>
      <c r="M350" s="51">
        <v>1</v>
      </c>
      <c r="N350" s="51">
        <v>1</v>
      </c>
      <c r="O350" s="52">
        <v>2</v>
      </c>
      <c r="P350" s="51">
        <v>0</v>
      </c>
      <c r="Q350" s="51">
        <v>5</v>
      </c>
      <c r="R350" s="51">
        <v>5</v>
      </c>
      <c r="S350" s="57" t="s">
        <v>48</v>
      </c>
      <c r="T350" s="51" t="s">
        <v>39</v>
      </c>
      <c r="U350" s="51">
        <v>2</v>
      </c>
      <c r="V350" s="51">
        <v>10</v>
      </c>
      <c r="W350" s="51">
        <v>2</v>
      </c>
      <c r="X350" s="51" t="s">
        <v>69</v>
      </c>
      <c r="Y350" s="57" t="s">
        <v>201</v>
      </c>
      <c r="Z350" s="58">
        <v>3000.5</v>
      </c>
      <c r="AA350" s="57" t="s">
        <v>197</v>
      </c>
      <c r="AB350" s="22">
        <f t="shared" si="5"/>
        <v>45951</v>
      </c>
    </row>
    <row r="351" spans="1:28" ht="12.75"/>
    <row r="352" spans="1:28" ht="12.75"/>
    <row r="353" spans="1:29" ht="12.75"/>
    <row r="354" spans="1:29" ht="12.75">
      <c r="A354" s="100" t="s">
        <v>566</v>
      </c>
      <c r="B354" s="100" t="s">
        <v>567</v>
      </c>
      <c r="AB354"/>
      <c r="AC354" s="23"/>
    </row>
    <row r="355" spans="1:29" ht="45.75">
      <c r="A355" s="86" t="s">
        <v>2</v>
      </c>
      <c r="B355" s="83" t="s">
        <v>568</v>
      </c>
      <c r="AB355"/>
      <c r="AC355" s="23"/>
    </row>
    <row r="356" spans="1:29" ht="45.75">
      <c r="A356" s="87" t="s">
        <v>3</v>
      </c>
      <c r="B356" s="85" t="s">
        <v>569</v>
      </c>
    </row>
    <row r="357" spans="1:29" ht="30.75">
      <c r="A357" s="87" t="s">
        <v>4</v>
      </c>
      <c r="B357" s="84" t="s">
        <v>570</v>
      </c>
    </row>
    <row r="358" spans="1:29" ht="15">
      <c r="A358" s="87" t="s">
        <v>5</v>
      </c>
      <c r="B358" s="84" t="s">
        <v>571</v>
      </c>
    </row>
    <row r="359" spans="1:29" ht="15">
      <c r="A359" s="87" t="s">
        <v>6</v>
      </c>
      <c r="B359" s="84" t="s">
        <v>572</v>
      </c>
    </row>
    <row r="360" spans="1:29" ht="15">
      <c r="A360" s="87" t="s">
        <v>7</v>
      </c>
      <c r="B360" s="84" t="s">
        <v>573</v>
      </c>
    </row>
    <row r="361" spans="1:29" ht="30.75">
      <c r="A361" s="87" t="s">
        <v>8</v>
      </c>
      <c r="B361" s="84" t="s">
        <v>574</v>
      </c>
    </row>
    <row r="362" spans="1:29" ht="45.75">
      <c r="A362" s="87" t="s">
        <v>9</v>
      </c>
      <c r="B362" s="84" t="s">
        <v>575</v>
      </c>
    </row>
    <row r="363" spans="1:29" ht="45.75">
      <c r="A363" s="87" t="s">
        <v>10</v>
      </c>
      <c r="B363" s="84" t="s">
        <v>576</v>
      </c>
    </row>
    <row r="364" spans="1:29" ht="51.75" customHeight="1">
      <c r="A364" s="87" t="s">
        <v>577</v>
      </c>
      <c r="B364" s="84" t="s">
        <v>578</v>
      </c>
    </row>
    <row r="365" spans="1:29" ht="49.5" customHeight="1">
      <c r="A365" s="87" t="s">
        <v>579</v>
      </c>
      <c r="B365" s="84" t="s">
        <v>580</v>
      </c>
    </row>
    <row r="366" spans="1:29" ht="45.75" customHeight="1">
      <c r="A366" s="87" t="s">
        <v>13</v>
      </c>
      <c r="B366" s="84" t="s">
        <v>581</v>
      </c>
    </row>
    <row r="367" spans="1:29" ht="51.75" customHeight="1">
      <c r="A367" s="87" t="s">
        <v>582</v>
      </c>
      <c r="B367" s="84" t="s">
        <v>583</v>
      </c>
    </row>
    <row r="368" spans="1:29" ht="50.25" customHeight="1">
      <c r="A368" s="87" t="s">
        <v>584</v>
      </c>
      <c r="B368" s="84" t="s">
        <v>585</v>
      </c>
    </row>
    <row r="369" spans="1:2" ht="40.5" customHeight="1">
      <c r="A369" s="87" t="s">
        <v>586</v>
      </c>
      <c r="B369" s="84" t="s">
        <v>587</v>
      </c>
    </row>
    <row r="370" spans="1:2" ht="62.25" customHeight="1">
      <c r="A370" s="87" t="s">
        <v>588</v>
      </c>
      <c r="B370" s="84" t="s">
        <v>589</v>
      </c>
    </row>
    <row r="371" spans="1:2" ht="54.75" customHeight="1">
      <c r="A371" s="87" t="s">
        <v>590</v>
      </c>
      <c r="B371" s="84" t="s">
        <v>591</v>
      </c>
    </row>
    <row r="372" spans="1:2" ht="60" customHeight="1">
      <c r="A372" s="87" t="s">
        <v>592</v>
      </c>
      <c r="B372" s="84" t="s">
        <v>593</v>
      </c>
    </row>
    <row r="373" spans="1:2" ht="63.75" customHeight="1">
      <c r="A373" s="87" t="s">
        <v>594</v>
      </c>
      <c r="B373" s="84" t="s">
        <v>595</v>
      </c>
    </row>
    <row r="374" spans="1:2" ht="81" customHeight="1">
      <c r="A374" s="87" t="s">
        <v>596</v>
      </c>
      <c r="B374" s="84" t="s">
        <v>597</v>
      </c>
    </row>
    <row r="375" spans="1:2" ht="65.25" customHeight="1">
      <c r="A375" s="87" t="s">
        <v>22</v>
      </c>
      <c r="B375" s="84" t="s">
        <v>598</v>
      </c>
    </row>
    <row r="376" spans="1:2" ht="68.25" customHeight="1">
      <c r="A376" s="87" t="s">
        <v>599</v>
      </c>
      <c r="B376" s="84" t="s">
        <v>600</v>
      </c>
    </row>
    <row r="377" spans="1:2" ht="60" customHeight="1">
      <c r="A377" s="87" t="s">
        <v>24</v>
      </c>
      <c r="B377" s="84" t="s">
        <v>601</v>
      </c>
    </row>
    <row r="378" spans="1:2" ht="87" customHeight="1">
      <c r="A378" s="87" t="s">
        <v>602</v>
      </c>
      <c r="B378" s="84" t="s">
        <v>603</v>
      </c>
    </row>
    <row r="379" spans="1:2" ht="88.5" customHeight="1">
      <c r="A379" s="87" t="s">
        <v>26</v>
      </c>
      <c r="B379" s="84" t="s">
        <v>604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89A65-185A-4E59-9428-86B91BC3638D}">
  <dimension ref="A1:N13"/>
  <sheetViews>
    <sheetView workbookViewId="0">
      <selection activeCell="B3" sqref="B3"/>
    </sheetView>
  </sheetViews>
  <sheetFormatPr defaultRowHeight="12.75"/>
  <cols>
    <col min="1" max="1" width="36.5703125" bestFit="1" customWidth="1"/>
    <col min="14" max="14" width="13.5703125" bestFit="1" customWidth="1"/>
  </cols>
  <sheetData>
    <row r="1" spans="1:14" ht="18">
      <c r="A1" s="72" t="s">
        <v>605</v>
      </c>
    </row>
    <row r="2" spans="1:14" ht="36">
      <c r="A2" s="72" t="s">
        <v>606</v>
      </c>
    </row>
    <row r="3" spans="1:14" ht="132" customHeight="1">
      <c r="A3" s="75" t="s">
        <v>607</v>
      </c>
    </row>
    <row r="13" spans="1:14" ht="33">
      <c r="N13" s="73" t="s">
        <v>608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52524-216A-47C8-8377-83C2DD8869A1}">
  <dimension ref="A1:A3"/>
  <sheetViews>
    <sheetView workbookViewId="0"/>
  </sheetViews>
  <sheetFormatPr defaultRowHeight="12.75"/>
  <cols>
    <col min="1" max="1" width="36.5703125" bestFit="1" customWidth="1"/>
  </cols>
  <sheetData>
    <row r="1" spans="1:1" ht="18">
      <c r="A1" s="72" t="s">
        <v>605</v>
      </c>
    </row>
    <row r="2" spans="1:1" ht="52.5">
      <c r="A2" s="72" t="s">
        <v>609</v>
      </c>
    </row>
    <row r="3" spans="1:1" ht="129.75" customHeight="1">
      <c r="A3" s="74" t="s">
        <v>610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1A08B-9B95-48E3-B36F-E8A9BD1584E0}">
  <dimension ref="A1:C9"/>
  <sheetViews>
    <sheetView workbookViewId="0">
      <selection activeCell="E2" sqref="E2"/>
    </sheetView>
  </sheetViews>
  <sheetFormatPr defaultRowHeight="12.75"/>
  <cols>
    <col min="1" max="1" width="31.7109375" customWidth="1"/>
    <col min="2" max="2" width="61.85546875" customWidth="1"/>
    <col min="3" max="3" width="28.42578125" customWidth="1"/>
    <col min="4" max="4" width="27.140625" bestFit="1" customWidth="1"/>
    <col min="12" max="12" width="11.7109375" bestFit="1" customWidth="1"/>
    <col min="13" max="13" width="14.28515625" bestFit="1" customWidth="1"/>
    <col min="14" max="14" width="21" bestFit="1" customWidth="1"/>
    <col min="15" max="15" width="16.140625" bestFit="1" customWidth="1"/>
  </cols>
  <sheetData>
    <row r="1" spans="1:3" ht="18">
      <c r="A1" s="96" t="s">
        <v>605</v>
      </c>
    </row>
    <row r="2" spans="1:3" ht="47.25" customHeight="1">
      <c r="A2" s="106" t="s">
        <v>611</v>
      </c>
      <c r="B2" s="106"/>
      <c r="C2" s="106"/>
    </row>
    <row r="3" spans="1:3">
      <c r="A3" s="7" t="s">
        <v>19</v>
      </c>
      <c r="B3" t="s">
        <v>612</v>
      </c>
      <c r="C3" s="100" t="s">
        <v>613</v>
      </c>
    </row>
    <row r="4" spans="1:3">
      <c r="A4" s="100" t="s">
        <v>49</v>
      </c>
      <c r="B4" s="3">
        <v>118</v>
      </c>
      <c r="C4" s="76">
        <v>0.33810888252148996</v>
      </c>
    </row>
    <row r="5" spans="1:3">
      <c r="A5" s="100" t="s">
        <v>39</v>
      </c>
      <c r="B5" s="3">
        <v>83</v>
      </c>
      <c r="C5" s="76">
        <v>0.23782234957020057</v>
      </c>
    </row>
    <row r="6" spans="1:3">
      <c r="A6" s="100" t="s">
        <v>81</v>
      </c>
      <c r="B6" s="3">
        <v>79</v>
      </c>
      <c r="C6" s="76">
        <v>0.22636103151862463</v>
      </c>
    </row>
    <row r="7" spans="1:3">
      <c r="A7" s="100" t="s">
        <v>94</v>
      </c>
      <c r="B7" s="3">
        <v>45</v>
      </c>
      <c r="C7" s="76">
        <v>0.12893982808022922</v>
      </c>
    </row>
    <row r="8" spans="1:3">
      <c r="A8" s="100" t="s">
        <v>102</v>
      </c>
      <c r="B8" s="3">
        <v>24</v>
      </c>
      <c r="C8" s="76">
        <v>6.8767908309455589E-2</v>
      </c>
    </row>
    <row r="9" spans="1:3">
      <c r="A9" s="100" t="s">
        <v>614</v>
      </c>
      <c r="B9" s="3">
        <v>349</v>
      </c>
      <c r="C9" s="76">
        <v>1</v>
      </c>
    </row>
  </sheetData>
  <mergeCells count="1">
    <mergeCell ref="A2:C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609FD-2B86-48DB-B171-76ECBBF0C5E6}">
  <dimension ref="A1:D9"/>
  <sheetViews>
    <sheetView workbookViewId="0"/>
  </sheetViews>
  <sheetFormatPr defaultRowHeight="12.75"/>
  <cols>
    <col min="1" max="1" width="37" customWidth="1"/>
    <col min="2" max="2" width="20.42578125" bestFit="1" customWidth="1"/>
  </cols>
  <sheetData>
    <row r="1" spans="1:4" ht="18">
      <c r="A1" s="96" t="s">
        <v>605</v>
      </c>
    </row>
    <row r="2" spans="1:4" ht="58.5" customHeight="1">
      <c r="A2" s="106" t="s">
        <v>615</v>
      </c>
      <c r="B2" s="106"/>
      <c r="C2" s="106"/>
      <c r="D2" s="106"/>
    </row>
    <row r="4" spans="1:4">
      <c r="A4" s="7" t="s">
        <v>6</v>
      </c>
      <c r="B4" s="100" t="s">
        <v>616</v>
      </c>
    </row>
    <row r="5" spans="1:4">
      <c r="A5" s="100" t="s">
        <v>73</v>
      </c>
      <c r="B5" s="3">
        <v>1</v>
      </c>
    </row>
    <row r="6" spans="1:4">
      <c r="A6" s="100" t="s">
        <v>149</v>
      </c>
      <c r="B6" s="3">
        <v>4</v>
      </c>
    </row>
    <row r="7" spans="1:4">
      <c r="A7" s="100" t="s">
        <v>33</v>
      </c>
      <c r="B7" s="3">
        <v>155</v>
      </c>
    </row>
    <row r="8" spans="1:4">
      <c r="A8" s="100" t="s">
        <v>54</v>
      </c>
      <c r="B8" s="3">
        <v>189</v>
      </c>
    </row>
    <row r="9" spans="1:4">
      <c r="A9" s="100" t="s">
        <v>614</v>
      </c>
      <c r="B9" s="3">
        <v>349</v>
      </c>
    </row>
  </sheetData>
  <mergeCells count="1">
    <mergeCell ref="A2:D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EAC1-CEDE-486F-A0FC-D4BE02071FC9}">
  <dimension ref="A1:AY354"/>
  <sheetViews>
    <sheetView tabSelected="1" workbookViewId="0">
      <selection activeCell="D2" sqref="D2"/>
    </sheetView>
  </sheetViews>
  <sheetFormatPr defaultRowHeight="12.75"/>
  <cols>
    <col min="1" max="2" width="13.7109375" customWidth="1"/>
    <col min="3" max="27" width="4.42578125" bestFit="1" customWidth="1"/>
    <col min="28" max="28" width="14.28515625" bestFit="1" customWidth="1"/>
    <col min="29" max="29" width="22.85546875" customWidth="1"/>
    <col min="30" max="30" width="4.42578125" bestFit="1" customWidth="1"/>
    <col min="31" max="50" width="5.5703125" bestFit="1" customWidth="1"/>
    <col min="51" max="51" width="5.5703125" hidden="1" customWidth="1"/>
    <col min="52" max="64" width="5.5703125" bestFit="1" customWidth="1"/>
    <col min="65" max="65" width="6.5703125" bestFit="1" customWidth="1"/>
    <col min="66" max="66" width="12.42578125" bestFit="1" customWidth="1"/>
  </cols>
  <sheetData>
    <row r="1" spans="1:29" ht="36">
      <c r="A1" s="96" t="s">
        <v>605</v>
      </c>
    </row>
    <row r="2" spans="1:29" ht="110.25" customHeight="1">
      <c r="A2" s="107" t="s">
        <v>617</v>
      </c>
      <c r="B2" s="107"/>
    </row>
    <row r="5" spans="1:29" ht="15.75">
      <c r="A5" s="102" t="s">
        <v>7</v>
      </c>
      <c r="AC5" s="104" t="s">
        <v>14</v>
      </c>
    </row>
    <row r="6" spans="1:29">
      <c r="A6" s="103">
        <v>18</v>
      </c>
      <c r="AC6" s="105">
        <v>2.5</v>
      </c>
    </row>
    <row r="7" spans="1:29">
      <c r="A7" s="103">
        <v>18</v>
      </c>
      <c r="AC7" s="105">
        <v>0</v>
      </c>
    </row>
    <row r="8" spans="1:29">
      <c r="A8" s="103">
        <v>18</v>
      </c>
      <c r="AC8" s="105">
        <v>0</v>
      </c>
    </row>
    <row r="9" spans="1:29">
      <c r="A9" s="103">
        <v>18</v>
      </c>
      <c r="AC9" s="105">
        <v>3.75</v>
      </c>
    </row>
    <row r="10" spans="1:29">
      <c r="A10" s="103">
        <v>18</v>
      </c>
      <c r="AC10" s="105">
        <v>0</v>
      </c>
    </row>
    <row r="11" spans="1:29">
      <c r="A11" s="103">
        <v>18</v>
      </c>
      <c r="AC11" s="105">
        <v>0</v>
      </c>
    </row>
    <row r="12" spans="1:29">
      <c r="A12" s="103">
        <v>18</v>
      </c>
      <c r="AC12" s="105">
        <v>1</v>
      </c>
    </row>
    <row r="13" spans="1:29">
      <c r="A13" s="103">
        <v>18</v>
      </c>
      <c r="AC13" s="105">
        <v>0</v>
      </c>
    </row>
    <row r="14" spans="1:29">
      <c r="A14" s="103">
        <v>18</v>
      </c>
      <c r="AC14" s="105">
        <v>1</v>
      </c>
    </row>
    <row r="15" spans="1:29">
      <c r="A15" s="103">
        <v>18</v>
      </c>
      <c r="AC15" s="105">
        <v>0</v>
      </c>
    </row>
    <row r="16" spans="1:29">
      <c r="A16" s="103">
        <v>19</v>
      </c>
      <c r="AC16" s="105">
        <v>0</v>
      </c>
    </row>
    <row r="17" spans="1:29">
      <c r="A17" s="103">
        <v>19</v>
      </c>
      <c r="AC17" s="105">
        <v>0</v>
      </c>
    </row>
    <row r="18" spans="1:29">
      <c r="A18" s="103">
        <v>19</v>
      </c>
      <c r="AC18" s="105">
        <v>5</v>
      </c>
    </row>
    <row r="19" spans="1:29">
      <c r="A19" s="103">
        <v>19</v>
      </c>
      <c r="AC19" s="105">
        <v>1.5</v>
      </c>
    </row>
    <row r="20" spans="1:29">
      <c r="A20" s="103">
        <v>19</v>
      </c>
      <c r="AC20" s="105">
        <v>3</v>
      </c>
    </row>
    <row r="21" spans="1:29">
      <c r="A21" s="103">
        <v>19</v>
      </c>
      <c r="AC21" s="105">
        <v>1</v>
      </c>
    </row>
    <row r="22" spans="1:29">
      <c r="A22" s="103">
        <v>19</v>
      </c>
      <c r="AC22" s="105">
        <v>18.5</v>
      </c>
    </row>
    <row r="23" spans="1:29">
      <c r="A23" s="103">
        <v>19</v>
      </c>
      <c r="AC23" s="105">
        <v>4.5</v>
      </c>
    </row>
    <row r="24" spans="1:29">
      <c r="A24" s="103">
        <v>19</v>
      </c>
      <c r="AC24" s="105">
        <v>0</v>
      </c>
    </row>
    <row r="25" spans="1:29">
      <c r="A25" s="103">
        <v>19</v>
      </c>
      <c r="AC25" s="105">
        <v>0</v>
      </c>
    </row>
    <row r="26" spans="1:29">
      <c r="A26" s="103">
        <v>19</v>
      </c>
      <c r="AC26" s="105">
        <v>0</v>
      </c>
    </row>
    <row r="27" spans="1:29">
      <c r="A27" s="103">
        <v>19</v>
      </c>
      <c r="AC27" s="105">
        <v>0</v>
      </c>
    </row>
    <row r="28" spans="1:29">
      <c r="A28" s="103">
        <v>19</v>
      </c>
      <c r="AC28" s="105">
        <v>6.75</v>
      </c>
    </row>
    <row r="29" spans="1:29">
      <c r="A29" s="103">
        <v>19</v>
      </c>
      <c r="AC29" s="105">
        <v>1</v>
      </c>
    </row>
    <row r="30" spans="1:29">
      <c r="A30" s="103">
        <v>19</v>
      </c>
      <c r="AC30" s="105">
        <v>10.5</v>
      </c>
    </row>
    <row r="31" spans="1:29">
      <c r="A31" s="103">
        <v>19</v>
      </c>
      <c r="AC31" s="105">
        <v>15.5</v>
      </c>
    </row>
    <row r="32" spans="1:29">
      <c r="A32" s="103">
        <v>19</v>
      </c>
      <c r="AC32" s="105">
        <v>3</v>
      </c>
    </row>
    <row r="33" spans="1:29">
      <c r="A33" s="103">
        <v>19</v>
      </c>
      <c r="AC33" s="105">
        <v>0</v>
      </c>
    </row>
    <row r="34" spans="1:29">
      <c r="A34" s="103">
        <v>19</v>
      </c>
      <c r="AC34" s="105">
        <v>1</v>
      </c>
    </row>
    <row r="35" spans="1:29">
      <c r="A35" s="103">
        <v>19</v>
      </c>
      <c r="AC35" s="105">
        <v>2.75</v>
      </c>
    </row>
    <row r="36" spans="1:29">
      <c r="A36" s="103">
        <v>19</v>
      </c>
      <c r="AC36" s="105">
        <v>8.75</v>
      </c>
    </row>
    <row r="37" spans="1:29">
      <c r="A37" s="103">
        <v>19</v>
      </c>
      <c r="AC37" s="105">
        <v>24</v>
      </c>
    </row>
    <row r="38" spans="1:29">
      <c r="A38" s="103">
        <v>19</v>
      </c>
      <c r="AC38" s="105">
        <v>1.5</v>
      </c>
    </row>
    <row r="39" spans="1:29">
      <c r="A39" s="103">
        <v>19</v>
      </c>
      <c r="AC39" s="105">
        <v>1</v>
      </c>
    </row>
    <row r="40" spans="1:29">
      <c r="A40" s="103">
        <v>19</v>
      </c>
      <c r="AC40" s="105">
        <v>0</v>
      </c>
    </row>
    <row r="41" spans="1:29">
      <c r="A41" s="103">
        <v>19</v>
      </c>
      <c r="AC41" s="105">
        <v>0</v>
      </c>
    </row>
    <row r="42" spans="1:29">
      <c r="A42" s="103">
        <v>19</v>
      </c>
      <c r="AC42" s="105">
        <v>0</v>
      </c>
    </row>
    <row r="43" spans="1:29">
      <c r="A43" s="103">
        <v>19</v>
      </c>
      <c r="AC43" s="105">
        <v>1</v>
      </c>
    </row>
    <row r="44" spans="1:29">
      <c r="A44" s="103">
        <v>19</v>
      </c>
      <c r="AC44" s="105">
        <v>0</v>
      </c>
    </row>
    <row r="45" spans="1:29">
      <c r="A45" s="103">
        <v>19</v>
      </c>
      <c r="AC45" s="105">
        <v>1</v>
      </c>
    </row>
    <row r="46" spans="1:29">
      <c r="A46" s="103">
        <v>19</v>
      </c>
      <c r="AC46" s="105">
        <v>0</v>
      </c>
    </row>
    <row r="47" spans="1:29">
      <c r="A47" s="103">
        <v>19</v>
      </c>
      <c r="AC47" s="105">
        <v>0</v>
      </c>
    </row>
    <row r="48" spans="1:29">
      <c r="A48" s="103">
        <v>19</v>
      </c>
      <c r="AC48" s="105">
        <v>0</v>
      </c>
    </row>
    <row r="49" spans="1:29">
      <c r="A49" s="103">
        <v>19</v>
      </c>
      <c r="AC49" s="105">
        <v>1</v>
      </c>
    </row>
    <row r="50" spans="1:29">
      <c r="A50" s="103">
        <v>19</v>
      </c>
      <c r="AC50" s="105">
        <v>0</v>
      </c>
    </row>
    <row r="51" spans="1:29">
      <c r="A51" s="103">
        <v>19</v>
      </c>
      <c r="AC51" s="105">
        <v>1</v>
      </c>
    </row>
    <row r="52" spans="1:29">
      <c r="A52" s="103">
        <v>19</v>
      </c>
      <c r="AC52" s="105">
        <v>0</v>
      </c>
    </row>
    <row r="53" spans="1:29">
      <c r="A53" s="103">
        <v>19</v>
      </c>
      <c r="AC53" s="105">
        <v>0</v>
      </c>
    </row>
    <row r="54" spans="1:29">
      <c r="A54" s="103">
        <v>19</v>
      </c>
      <c r="AC54" s="105">
        <v>1</v>
      </c>
    </row>
    <row r="55" spans="1:29">
      <c r="A55" s="103">
        <v>19</v>
      </c>
      <c r="AC55" s="105">
        <v>0</v>
      </c>
    </row>
    <row r="56" spans="1:29">
      <c r="A56" s="103">
        <v>19</v>
      </c>
      <c r="AC56" s="105">
        <v>0</v>
      </c>
    </row>
    <row r="57" spans="1:29">
      <c r="A57" s="103">
        <v>19</v>
      </c>
      <c r="AC57" s="105">
        <v>1</v>
      </c>
    </row>
    <row r="58" spans="1:29">
      <c r="A58" s="103">
        <v>20</v>
      </c>
      <c r="AC58" s="105">
        <v>0</v>
      </c>
    </row>
    <row r="59" spans="1:29">
      <c r="A59" s="103">
        <v>20</v>
      </c>
      <c r="AC59" s="105">
        <v>30</v>
      </c>
    </row>
    <row r="60" spans="1:29">
      <c r="A60" s="103">
        <v>20</v>
      </c>
      <c r="AC60" s="105">
        <v>0.5</v>
      </c>
    </row>
    <row r="61" spans="1:29">
      <c r="A61" s="103">
        <v>20</v>
      </c>
      <c r="AC61" s="105">
        <v>0</v>
      </c>
    </row>
    <row r="62" spans="1:29">
      <c r="A62" s="103">
        <v>20</v>
      </c>
      <c r="AC62" s="105">
        <v>5</v>
      </c>
    </row>
    <row r="63" spans="1:29">
      <c r="A63" s="103">
        <v>20</v>
      </c>
      <c r="AC63" s="105">
        <v>0</v>
      </c>
    </row>
    <row r="64" spans="1:29">
      <c r="A64" s="103">
        <v>20</v>
      </c>
      <c r="AC64" s="105">
        <v>5</v>
      </c>
    </row>
    <row r="65" spans="1:29">
      <c r="A65" s="103">
        <v>20</v>
      </c>
      <c r="AC65" s="105">
        <v>6</v>
      </c>
    </row>
    <row r="66" spans="1:29">
      <c r="A66" s="103">
        <v>20</v>
      </c>
      <c r="AC66" s="105">
        <v>40</v>
      </c>
    </row>
    <row r="67" spans="1:29">
      <c r="A67" s="103">
        <v>20</v>
      </c>
      <c r="AC67" s="105">
        <v>4.5</v>
      </c>
    </row>
    <row r="68" spans="1:29">
      <c r="A68" s="103">
        <v>20</v>
      </c>
      <c r="AC68" s="105">
        <v>3.5</v>
      </c>
    </row>
    <row r="69" spans="1:29">
      <c r="A69" s="103">
        <v>20</v>
      </c>
      <c r="AC69" s="105">
        <v>0</v>
      </c>
    </row>
    <row r="70" spans="1:29">
      <c r="A70" s="103">
        <v>20</v>
      </c>
      <c r="AC70" s="105">
        <v>15</v>
      </c>
    </row>
    <row r="71" spans="1:29">
      <c r="A71" s="103">
        <v>20</v>
      </c>
      <c r="AC71" s="105">
        <v>12.5</v>
      </c>
    </row>
    <row r="72" spans="1:29">
      <c r="A72" s="103">
        <v>20</v>
      </c>
      <c r="AC72" s="105">
        <v>10.5</v>
      </c>
    </row>
    <row r="73" spans="1:29">
      <c r="A73" s="103">
        <v>20</v>
      </c>
      <c r="AC73" s="105">
        <v>0.5</v>
      </c>
    </row>
    <row r="74" spans="1:29">
      <c r="A74" s="103">
        <v>20</v>
      </c>
      <c r="AC74" s="105">
        <v>4.75</v>
      </c>
    </row>
    <row r="75" spans="1:29">
      <c r="A75" s="103">
        <v>20</v>
      </c>
      <c r="AC75" s="105">
        <v>0</v>
      </c>
    </row>
    <row r="76" spans="1:29">
      <c r="A76" s="103">
        <v>20</v>
      </c>
      <c r="AC76" s="105">
        <v>1</v>
      </c>
    </row>
    <row r="77" spans="1:29">
      <c r="A77" s="103">
        <v>20</v>
      </c>
      <c r="AC77" s="105">
        <v>0</v>
      </c>
    </row>
    <row r="78" spans="1:29">
      <c r="A78" s="103">
        <v>20</v>
      </c>
      <c r="AC78" s="105">
        <v>1</v>
      </c>
    </row>
    <row r="79" spans="1:29">
      <c r="A79" s="103">
        <v>20</v>
      </c>
      <c r="AC79" s="105">
        <v>0</v>
      </c>
    </row>
    <row r="80" spans="1:29">
      <c r="A80" s="103">
        <v>20</v>
      </c>
      <c r="AC80" s="105">
        <v>4</v>
      </c>
    </row>
    <row r="81" spans="1:29">
      <c r="A81" s="103">
        <v>20</v>
      </c>
      <c r="AC81" s="105">
        <v>2.5</v>
      </c>
    </row>
    <row r="82" spans="1:29">
      <c r="A82" s="103">
        <v>20</v>
      </c>
      <c r="AC82" s="105">
        <v>2</v>
      </c>
    </row>
    <row r="83" spans="1:29">
      <c r="A83" s="103">
        <v>20</v>
      </c>
      <c r="AC83" s="105">
        <v>0</v>
      </c>
    </row>
    <row r="84" spans="1:29">
      <c r="A84" s="103">
        <v>20</v>
      </c>
      <c r="AC84" s="105">
        <v>0</v>
      </c>
    </row>
    <row r="85" spans="1:29">
      <c r="A85" s="103">
        <v>20</v>
      </c>
      <c r="AC85" s="105">
        <v>0</v>
      </c>
    </row>
    <row r="86" spans="1:29">
      <c r="A86" s="103">
        <v>20</v>
      </c>
      <c r="AC86" s="105">
        <v>1</v>
      </c>
    </row>
    <row r="87" spans="1:29">
      <c r="A87" s="103">
        <v>20</v>
      </c>
      <c r="AC87" s="105">
        <v>0</v>
      </c>
    </row>
    <row r="88" spans="1:29">
      <c r="A88" s="103">
        <v>20</v>
      </c>
      <c r="AC88" s="105">
        <v>0</v>
      </c>
    </row>
    <row r="89" spans="1:29">
      <c r="A89" s="103">
        <v>20</v>
      </c>
      <c r="AC89" s="105">
        <v>0</v>
      </c>
    </row>
    <row r="90" spans="1:29">
      <c r="A90" s="103">
        <v>20</v>
      </c>
      <c r="AC90" s="105">
        <v>0</v>
      </c>
    </row>
    <row r="91" spans="1:29">
      <c r="A91" s="103">
        <v>20</v>
      </c>
      <c r="AC91" s="105">
        <v>3</v>
      </c>
    </row>
    <row r="92" spans="1:29">
      <c r="A92" s="103">
        <v>20</v>
      </c>
      <c r="AC92" s="105">
        <v>1.5</v>
      </c>
    </row>
    <row r="93" spans="1:29">
      <c r="A93" s="103">
        <v>20</v>
      </c>
      <c r="AC93" s="105">
        <v>0</v>
      </c>
    </row>
    <row r="94" spans="1:29">
      <c r="A94" s="103">
        <v>20</v>
      </c>
      <c r="AC94" s="105">
        <v>3</v>
      </c>
    </row>
    <row r="95" spans="1:29">
      <c r="A95" s="103">
        <v>20</v>
      </c>
      <c r="AC95" s="105">
        <v>1</v>
      </c>
    </row>
    <row r="96" spans="1:29">
      <c r="A96" s="103">
        <v>20</v>
      </c>
      <c r="AC96" s="105">
        <v>1</v>
      </c>
    </row>
    <row r="97" spans="1:29">
      <c r="A97" s="103">
        <v>20</v>
      </c>
      <c r="AC97" s="105">
        <v>0</v>
      </c>
    </row>
    <row r="98" spans="1:29">
      <c r="A98" s="103">
        <v>20</v>
      </c>
      <c r="AC98" s="105">
        <v>32</v>
      </c>
    </row>
    <row r="99" spans="1:29">
      <c r="A99" s="103">
        <v>20</v>
      </c>
      <c r="AC99" s="105">
        <v>28</v>
      </c>
    </row>
    <row r="100" spans="1:29">
      <c r="A100" s="103">
        <v>20</v>
      </c>
      <c r="AC100" s="105">
        <v>1</v>
      </c>
    </row>
    <row r="101" spans="1:29">
      <c r="A101" s="103">
        <v>20</v>
      </c>
      <c r="AC101" s="105">
        <v>0</v>
      </c>
    </row>
    <row r="102" spans="1:29">
      <c r="A102" s="103">
        <v>20</v>
      </c>
      <c r="AC102" s="105">
        <v>2</v>
      </c>
    </row>
    <row r="103" spans="1:29">
      <c r="A103" s="103">
        <v>20</v>
      </c>
      <c r="AC103" s="105">
        <v>6</v>
      </c>
    </row>
    <row r="104" spans="1:29">
      <c r="A104" s="103">
        <v>20</v>
      </c>
      <c r="AC104" s="105">
        <v>0</v>
      </c>
    </row>
    <row r="105" spans="1:29">
      <c r="A105" s="103">
        <v>20</v>
      </c>
      <c r="AC105" s="105">
        <v>1</v>
      </c>
    </row>
    <row r="106" spans="1:29">
      <c r="A106" s="103">
        <v>20</v>
      </c>
      <c r="AC106" s="105">
        <v>0</v>
      </c>
    </row>
    <row r="107" spans="1:29">
      <c r="A107" s="103">
        <v>20</v>
      </c>
      <c r="AC107" s="105">
        <v>0.5</v>
      </c>
    </row>
    <row r="108" spans="1:29">
      <c r="A108" s="103">
        <v>20</v>
      </c>
      <c r="AC108" s="105">
        <v>1</v>
      </c>
    </row>
    <row r="109" spans="1:29">
      <c r="A109" s="103">
        <v>20</v>
      </c>
      <c r="AC109" s="105">
        <v>2</v>
      </c>
    </row>
    <row r="110" spans="1:29">
      <c r="A110" s="103">
        <v>20</v>
      </c>
      <c r="AC110" s="105">
        <v>1</v>
      </c>
    </row>
    <row r="111" spans="1:29">
      <c r="A111" s="103">
        <v>20</v>
      </c>
      <c r="AC111" s="105">
        <v>2</v>
      </c>
    </row>
    <row r="112" spans="1:29">
      <c r="A112" s="103">
        <v>20</v>
      </c>
      <c r="AC112" s="105">
        <v>3</v>
      </c>
    </row>
    <row r="113" spans="1:29">
      <c r="A113" s="103">
        <v>20</v>
      </c>
      <c r="AC113" s="105">
        <v>1</v>
      </c>
    </row>
    <row r="114" spans="1:29">
      <c r="A114" s="103">
        <v>20</v>
      </c>
      <c r="AC114" s="105">
        <v>5</v>
      </c>
    </row>
    <row r="115" spans="1:29">
      <c r="A115" s="103">
        <v>20</v>
      </c>
      <c r="AC115" s="105">
        <v>12</v>
      </c>
    </row>
    <row r="116" spans="1:29">
      <c r="A116" s="103">
        <v>21</v>
      </c>
      <c r="AC116" s="105">
        <v>0</v>
      </c>
    </row>
    <row r="117" spans="1:29">
      <c r="A117" s="103">
        <v>21</v>
      </c>
      <c r="AC117" s="105">
        <v>1</v>
      </c>
    </row>
    <row r="118" spans="1:29">
      <c r="A118" s="103">
        <v>21</v>
      </c>
      <c r="AC118" s="105">
        <v>1.5</v>
      </c>
    </row>
    <row r="119" spans="1:29">
      <c r="A119" s="103">
        <v>21</v>
      </c>
      <c r="AC119" s="105">
        <v>2</v>
      </c>
    </row>
    <row r="120" spans="1:29">
      <c r="A120" s="103">
        <v>21</v>
      </c>
      <c r="AC120" s="105">
        <v>2</v>
      </c>
    </row>
    <row r="121" spans="1:29">
      <c r="A121" s="103">
        <v>21</v>
      </c>
      <c r="AC121" s="105">
        <v>5.75</v>
      </c>
    </row>
    <row r="122" spans="1:29">
      <c r="A122" s="103">
        <v>21</v>
      </c>
      <c r="AC122" s="105">
        <v>0</v>
      </c>
    </row>
    <row r="123" spans="1:29">
      <c r="A123" s="103">
        <v>21</v>
      </c>
      <c r="AC123" s="105">
        <v>0</v>
      </c>
    </row>
    <row r="124" spans="1:29">
      <c r="A124" s="103">
        <v>21</v>
      </c>
      <c r="AC124" s="105">
        <v>5.75</v>
      </c>
    </row>
    <row r="125" spans="1:29">
      <c r="A125" s="103">
        <v>21</v>
      </c>
      <c r="AC125" s="105">
        <v>6.75</v>
      </c>
    </row>
    <row r="126" spans="1:29">
      <c r="A126" s="103">
        <v>21</v>
      </c>
      <c r="AC126" s="105">
        <v>8.5</v>
      </c>
    </row>
    <row r="127" spans="1:29">
      <c r="A127" s="103">
        <v>21</v>
      </c>
      <c r="AC127" s="105">
        <v>24</v>
      </c>
    </row>
    <row r="128" spans="1:29">
      <c r="A128" s="103">
        <v>21</v>
      </c>
      <c r="AC128" s="105">
        <v>0</v>
      </c>
    </row>
    <row r="129" spans="1:29">
      <c r="A129" s="103">
        <v>21</v>
      </c>
      <c r="AC129" s="105">
        <v>3.75</v>
      </c>
    </row>
    <row r="130" spans="1:29">
      <c r="A130" s="103">
        <v>21</v>
      </c>
      <c r="AC130" s="105">
        <v>2.5</v>
      </c>
    </row>
    <row r="131" spans="1:29">
      <c r="A131" s="103">
        <v>21</v>
      </c>
      <c r="AC131" s="105">
        <v>1</v>
      </c>
    </row>
    <row r="132" spans="1:29">
      <c r="A132" s="103">
        <v>21</v>
      </c>
      <c r="AC132" s="105">
        <v>0.25</v>
      </c>
    </row>
    <row r="133" spans="1:29">
      <c r="A133" s="103">
        <v>21</v>
      </c>
      <c r="AC133" s="105">
        <v>20</v>
      </c>
    </row>
    <row r="134" spans="1:29">
      <c r="A134" s="103">
        <v>21</v>
      </c>
      <c r="AC134" s="105">
        <v>10</v>
      </c>
    </row>
    <row r="135" spans="1:29">
      <c r="A135" s="103">
        <v>21</v>
      </c>
      <c r="AC135" s="105">
        <v>1.5</v>
      </c>
    </row>
    <row r="136" spans="1:29">
      <c r="A136" s="103">
        <v>21</v>
      </c>
      <c r="AC136" s="105">
        <v>0</v>
      </c>
    </row>
    <row r="137" spans="1:29">
      <c r="A137" s="103">
        <v>21</v>
      </c>
      <c r="AC137" s="105">
        <v>1</v>
      </c>
    </row>
    <row r="138" spans="1:29">
      <c r="A138" s="103">
        <v>21</v>
      </c>
      <c r="AC138" s="105">
        <v>0</v>
      </c>
    </row>
    <row r="139" spans="1:29">
      <c r="A139" s="103">
        <v>21</v>
      </c>
      <c r="AC139" s="105">
        <v>0</v>
      </c>
    </row>
    <row r="140" spans="1:29">
      <c r="A140" s="103">
        <v>21</v>
      </c>
      <c r="AC140" s="105">
        <v>1.5</v>
      </c>
    </row>
    <row r="141" spans="1:29">
      <c r="A141" s="103">
        <v>21</v>
      </c>
      <c r="AC141" s="105">
        <v>1</v>
      </c>
    </row>
    <row r="142" spans="1:29">
      <c r="A142" s="103">
        <v>21</v>
      </c>
      <c r="AC142" s="105">
        <v>1.5</v>
      </c>
    </row>
    <row r="143" spans="1:29">
      <c r="A143" s="103">
        <v>21</v>
      </c>
      <c r="AC143" s="105">
        <v>1</v>
      </c>
    </row>
    <row r="144" spans="1:29">
      <c r="A144" s="103">
        <v>21</v>
      </c>
      <c r="AC144" s="105">
        <v>1</v>
      </c>
    </row>
    <row r="145" spans="1:29">
      <c r="A145" s="103">
        <v>21</v>
      </c>
      <c r="AC145" s="105">
        <v>2</v>
      </c>
    </row>
    <row r="146" spans="1:29">
      <c r="A146" s="103">
        <v>21</v>
      </c>
      <c r="AC146" s="105">
        <v>2</v>
      </c>
    </row>
    <row r="147" spans="1:29">
      <c r="A147" s="103">
        <v>21</v>
      </c>
      <c r="AC147" s="105">
        <v>0</v>
      </c>
    </row>
    <row r="148" spans="1:29">
      <c r="A148" s="103">
        <v>21</v>
      </c>
      <c r="AC148" s="105">
        <v>0</v>
      </c>
    </row>
    <row r="149" spans="1:29">
      <c r="A149" s="103">
        <v>21</v>
      </c>
      <c r="AC149" s="105">
        <v>3</v>
      </c>
    </row>
    <row r="150" spans="1:29">
      <c r="A150" s="103">
        <v>21</v>
      </c>
      <c r="AC150" s="105">
        <v>1.3</v>
      </c>
    </row>
    <row r="151" spans="1:29">
      <c r="A151" s="103">
        <v>21</v>
      </c>
      <c r="AC151" s="105">
        <v>4</v>
      </c>
    </row>
    <row r="152" spans="1:29">
      <c r="A152" s="103">
        <v>21</v>
      </c>
      <c r="AC152" s="105">
        <v>2</v>
      </c>
    </row>
    <row r="153" spans="1:29">
      <c r="A153" s="103">
        <v>21</v>
      </c>
      <c r="AC153" s="105">
        <v>0</v>
      </c>
    </row>
    <row r="154" spans="1:29">
      <c r="A154" s="103">
        <v>21</v>
      </c>
      <c r="AC154" s="105">
        <v>10</v>
      </c>
    </row>
    <row r="155" spans="1:29">
      <c r="A155" s="103">
        <v>21</v>
      </c>
      <c r="AC155" s="105">
        <v>0</v>
      </c>
    </row>
    <row r="156" spans="1:29">
      <c r="A156" s="103">
        <v>21</v>
      </c>
      <c r="AC156" s="105">
        <v>0</v>
      </c>
    </row>
    <row r="157" spans="1:29">
      <c r="A157" s="103">
        <v>21</v>
      </c>
      <c r="AC157" s="105">
        <v>2</v>
      </c>
    </row>
    <row r="158" spans="1:29">
      <c r="A158" s="103">
        <v>21</v>
      </c>
      <c r="AC158" s="105">
        <v>2</v>
      </c>
    </row>
    <row r="159" spans="1:29">
      <c r="A159" s="103">
        <v>21</v>
      </c>
      <c r="AC159" s="105">
        <v>2</v>
      </c>
    </row>
    <row r="160" spans="1:29">
      <c r="A160" s="103">
        <v>21</v>
      </c>
      <c r="AC160" s="105">
        <v>0</v>
      </c>
    </row>
    <row r="161" spans="1:29">
      <c r="A161" s="103">
        <v>21</v>
      </c>
      <c r="AC161" s="105">
        <v>0</v>
      </c>
    </row>
    <row r="162" spans="1:29">
      <c r="A162" s="103">
        <v>21</v>
      </c>
      <c r="AC162" s="105">
        <v>0</v>
      </c>
    </row>
    <row r="163" spans="1:29">
      <c r="A163" s="103">
        <v>21</v>
      </c>
      <c r="AC163" s="105">
        <v>6</v>
      </c>
    </row>
    <row r="164" spans="1:29">
      <c r="A164" s="103">
        <v>21</v>
      </c>
      <c r="AC164" s="105">
        <v>3</v>
      </c>
    </row>
    <row r="165" spans="1:29">
      <c r="A165" s="103">
        <v>21</v>
      </c>
      <c r="AC165" s="105">
        <v>43</v>
      </c>
    </row>
    <row r="166" spans="1:29">
      <c r="A166" s="103">
        <v>21</v>
      </c>
      <c r="AC166" s="105">
        <v>4</v>
      </c>
    </row>
    <row r="167" spans="1:29">
      <c r="A167" s="103">
        <v>21</v>
      </c>
      <c r="AC167" s="105">
        <v>0</v>
      </c>
    </row>
    <row r="168" spans="1:29">
      <c r="A168" s="103">
        <v>21</v>
      </c>
      <c r="AC168" s="105">
        <v>18</v>
      </c>
    </row>
    <row r="169" spans="1:29">
      <c r="A169" s="103">
        <v>21</v>
      </c>
      <c r="AC169" s="105">
        <v>5.5</v>
      </c>
    </row>
    <row r="170" spans="1:29">
      <c r="A170" s="103">
        <v>22</v>
      </c>
      <c r="AC170" s="105">
        <v>0</v>
      </c>
    </row>
    <row r="171" spans="1:29">
      <c r="A171" s="103">
        <v>22</v>
      </c>
      <c r="AC171" s="105">
        <v>1.5</v>
      </c>
    </row>
    <row r="172" spans="1:29">
      <c r="A172" s="103">
        <v>22</v>
      </c>
      <c r="AC172" s="105">
        <v>2</v>
      </c>
    </row>
    <row r="173" spans="1:29">
      <c r="A173" s="103">
        <v>22</v>
      </c>
      <c r="AC173" s="105">
        <v>5</v>
      </c>
    </row>
    <row r="174" spans="1:29">
      <c r="A174" s="103">
        <v>22</v>
      </c>
      <c r="AC174" s="105">
        <v>10</v>
      </c>
    </row>
    <row r="175" spans="1:29">
      <c r="A175" s="103">
        <v>22</v>
      </c>
      <c r="AC175" s="105">
        <v>1</v>
      </c>
    </row>
    <row r="176" spans="1:29">
      <c r="A176" s="103">
        <v>22</v>
      </c>
      <c r="AC176" s="105">
        <v>7.5</v>
      </c>
    </row>
    <row r="177" spans="1:29">
      <c r="A177" s="103">
        <v>22</v>
      </c>
      <c r="AC177" s="105">
        <v>5.75</v>
      </c>
    </row>
    <row r="178" spans="1:29">
      <c r="A178" s="103">
        <v>22</v>
      </c>
      <c r="AC178" s="105">
        <v>1</v>
      </c>
    </row>
    <row r="179" spans="1:29">
      <c r="A179" s="103">
        <v>22</v>
      </c>
      <c r="AC179" s="105">
        <v>10.5</v>
      </c>
    </row>
    <row r="180" spans="1:29">
      <c r="A180" s="103">
        <v>22</v>
      </c>
      <c r="AC180" s="105">
        <v>20.5</v>
      </c>
    </row>
    <row r="181" spans="1:29">
      <c r="A181" s="103">
        <v>22</v>
      </c>
      <c r="AC181" s="105">
        <v>10.5</v>
      </c>
    </row>
    <row r="182" spans="1:29">
      <c r="A182" s="103">
        <v>22</v>
      </c>
      <c r="AC182" s="105">
        <v>0</v>
      </c>
    </row>
    <row r="183" spans="1:29">
      <c r="A183" s="103">
        <v>22</v>
      </c>
      <c r="AC183" s="105">
        <v>5.75</v>
      </c>
    </row>
    <row r="184" spans="1:29">
      <c r="A184" s="103">
        <v>22</v>
      </c>
      <c r="AC184" s="105">
        <v>2</v>
      </c>
    </row>
    <row r="185" spans="1:29">
      <c r="A185" s="103">
        <v>22</v>
      </c>
      <c r="AC185" s="105">
        <v>8.75</v>
      </c>
    </row>
    <row r="186" spans="1:29">
      <c r="A186" s="103">
        <v>22</v>
      </c>
      <c r="AC186" s="105">
        <v>7.5</v>
      </c>
    </row>
    <row r="187" spans="1:29">
      <c r="A187" s="103">
        <v>22</v>
      </c>
      <c r="AC187" s="105">
        <v>2.75</v>
      </c>
    </row>
    <row r="188" spans="1:29">
      <c r="A188" s="103">
        <v>22</v>
      </c>
      <c r="AC188" s="105">
        <v>16</v>
      </c>
    </row>
    <row r="189" spans="1:29">
      <c r="A189" s="103">
        <v>22</v>
      </c>
      <c r="AC189" s="105">
        <v>10</v>
      </c>
    </row>
    <row r="190" spans="1:29">
      <c r="A190" s="103">
        <v>22</v>
      </c>
      <c r="AC190" s="105">
        <v>2</v>
      </c>
    </row>
    <row r="191" spans="1:29">
      <c r="A191" s="103">
        <v>22</v>
      </c>
      <c r="AC191" s="105">
        <v>2</v>
      </c>
    </row>
    <row r="192" spans="1:29">
      <c r="A192" s="103">
        <v>22</v>
      </c>
      <c r="AC192" s="105">
        <v>0</v>
      </c>
    </row>
    <row r="193" spans="1:29">
      <c r="A193" s="103">
        <v>22</v>
      </c>
      <c r="AC193" s="105">
        <v>3</v>
      </c>
    </row>
    <row r="194" spans="1:29">
      <c r="A194" s="103">
        <v>22</v>
      </c>
      <c r="AC194" s="105">
        <v>2</v>
      </c>
    </row>
    <row r="195" spans="1:29">
      <c r="A195" s="103">
        <v>22</v>
      </c>
      <c r="AC195" s="105">
        <v>1</v>
      </c>
    </row>
    <row r="196" spans="1:29">
      <c r="A196" s="103">
        <v>22</v>
      </c>
      <c r="AC196" s="105">
        <v>0</v>
      </c>
    </row>
    <row r="197" spans="1:29">
      <c r="A197" s="103">
        <v>22</v>
      </c>
      <c r="AC197" s="105">
        <v>3</v>
      </c>
    </row>
    <row r="198" spans="1:29">
      <c r="A198" s="103">
        <v>22</v>
      </c>
      <c r="AC198" s="105">
        <v>2</v>
      </c>
    </row>
    <row r="199" spans="1:29">
      <c r="A199" s="103">
        <v>22</v>
      </c>
      <c r="AC199" s="105">
        <v>3</v>
      </c>
    </row>
    <row r="200" spans="1:29">
      <c r="A200" s="103">
        <v>22</v>
      </c>
      <c r="AC200" s="105">
        <v>0</v>
      </c>
    </row>
    <row r="201" spans="1:29">
      <c r="A201" s="103">
        <v>22</v>
      </c>
      <c r="AC201" s="105">
        <v>4</v>
      </c>
    </row>
    <row r="202" spans="1:29">
      <c r="A202" s="103">
        <v>22</v>
      </c>
      <c r="AC202" s="105">
        <v>2.5</v>
      </c>
    </row>
    <row r="203" spans="1:29">
      <c r="A203" s="103">
        <v>22</v>
      </c>
      <c r="AC203" s="105">
        <v>5</v>
      </c>
    </row>
    <row r="204" spans="1:29">
      <c r="A204" s="103">
        <v>22</v>
      </c>
      <c r="AC204" s="105">
        <v>1</v>
      </c>
    </row>
    <row r="205" spans="1:29">
      <c r="A205" s="103">
        <v>22</v>
      </c>
      <c r="AC205" s="105">
        <v>4</v>
      </c>
    </row>
    <row r="206" spans="1:29">
      <c r="A206" s="103">
        <v>22</v>
      </c>
      <c r="AC206" s="105">
        <v>44</v>
      </c>
    </row>
    <row r="207" spans="1:29">
      <c r="A207" s="103">
        <v>22</v>
      </c>
      <c r="AC207" s="105">
        <v>2</v>
      </c>
    </row>
    <row r="208" spans="1:29">
      <c r="A208" s="103">
        <v>22</v>
      </c>
      <c r="AC208" s="105">
        <v>12</v>
      </c>
    </row>
    <row r="209" spans="1:29">
      <c r="A209" s="103">
        <v>22</v>
      </c>
      <c r="AC209" s="105">
        <v>3</v>
      </c>
    </row>
    <row r="210" spans="1:29">
      <c r="A210" s="103">
        <v>22</v>
      </c>
      <c r="AC210" s="105">
        <v>0</v>
      </c>
    </row>
    <row r="211" spans="1:29">
      <c r="A211" s="103">
        <v>22</v>
      </c>
      <c r="AC211" s="105">
        <v>3</v>
      </c>
    </row>
    <row r="212" spans="1:29">
      <c r="A212" s="103">
        <v>22</v>
      </c>
      <c r="AC212" s="105">
        <v>21</v>
      </c>
    </row>
    <row r="213" spans="1:29">
      <c r="A213" s="103">
        <v>22</v>
      </c>
      <c r="AC213" s="105">
        <v>8</v>
      </c>
    </row>
    <row r="214" spans="1:29">
      <c r="A214" s="103">
        <v>22</v>
      </c>
      <c r="AC214" s="105">
        <v>3</v>
      </c>
    </row>
    <row r="215" spans="1:29">
      <c r="A215" s="103">
        <v>22</v>
      </c>
      <c r="AC215" s="105">
        <v>4</v>
      </c>
    </row>
    <row r="216" spans="1:29">
      <c r="A216" s="103">
        <v>22</v>
      </c>
      <c r="AC216" s="105">
        <v>1</v>
      </c>
    </row>
    <row r="217" spans="1:29">
      <c r="A217" s="103">
        <v>22</v>
      </c>
      <c r="AC217" s="105">
        <v>20</v>
      </c>
    </row>
    <row r="218" spans="1:29">
      <c r="A218" s="103">
        <v>22</v>
      </c>
      <c r="AC218" s="105">
        <v>2</v>
      </c>
    </row>
    <row r="219" spans="1:29">
      <c r="A219" s="103">
        <v>22</v>
      </c>
      <c r="AC219" s="105">
        <v>2.5</v>
      </c>
    </row>
    <row r="220" spans="1:29">
      <c r="A220" s="103">
        <v>22</v>
      </c>
      <c r="AC220" s="105">
        <v>4.5</v>
      </c>
    </row>
    <row r="221" spans="1:29">
      <c r="A221" s="103">
        <v>22</v>
      </c>
      <c r="AC221" s="105">
        <v>9</v>
      </c>
    </row>
    <row r="222" spans="1:29">
      <c r="A222" s="103">
        <v>22</v>
      </c>
      <c r="AC222" s="105">
        <v>10</v>
      </c>
    </row>
    <row r="223" spans="1:29">
      <c r="A223" s="103">
        <v>22</v>
      </c>
      <c r="AC223" s="105">
        <v>0.5</v>
      </c>
    </row>
    <row r="224" spans="1:29">
      <c r="A224" s="103">
        <v>23</v>
      </c>
      <c r="AC224" s="105">
        <v>6.25</v>
      </c>
    </row>
    <row r="225" spans="1:29">
      <c r="A225" s="103">
        <v>23</v>
      </c>
      <c r="AC225" s="105">
        <v>0</v>
      </c>
    </row>
    <row r="226" spans="1:29">
      <c r="A226" s="103">
        <v>23</v>
      </c>
      <c r="AC226" s="105">
        <v>0</v>
      </c>
    </row>
    <row r="227" spans="1:29">
      <c r="A227" s="103">
        <v>23</v>
      </c>
      <c r="AC227" s="105">
        <v>4</v>
      </c>
    </row>
    <row r="228" spans="1:29">
      <c r="A228" s="103">
        <v>23</v>
      </c>
      <c r="AC228" s="105">
        <v>20</v>
      </c>
    </row>
    <row r="229" spans="1:29">
      <c r="A229" s="103">
        <v>23</v>
      </c>
      <c r="AC229" s="105">
        <v>6.7</v>
      </c>
    </row>
    <row r="230" spans="1:29">
      <c r="A230" s="103">
        <v>23</v>
      </c>
      <c r="AC230" s="105">
        <v>8.5</v>
      </c>
    </row>
    <row r="231" spans="1:29">
      <c r="A231" s="103">
        <v>23</v>
      </c>
      <c r="AC231" s="105">
        <v>14</v>
      </c>
    </row>
    <row r="232" spans="1:29">
      <c r="A232" s="103">
        <v>23</v>
      </c>
      <c r="AC232" s="105">
        <v>4.75</v>
      </c>
    </row>
    <row r="233" spans="1:29">
      <c r="A233" s="103">
        <v>23</v>
      </c>
      <c r="AC233" s="105">
        <v>4.5</v>
      </c>
    </row>
    <row r="234" spans="1:29">
      <c r="A234" s="103">
        <v>23</v>
      </c>
      <c r="AC234" s="105">
        <v>6.5</v>
      </c>
    </row>
    <row r="235" spans="1:29">
      <c r="A235" s="103">
        <v>23</v>
      </c>
      <c r="AC235" s="105">
        <v>10.75</v>
      </c>
    </row>
    <row r="236" spans="1:29">
      <c r="A236" s="103">
        <v>23</v>
      </c>
      <c r="AC236" s="105">
        <v>10.75</v>
      </c>
    </row>
    <row r="237" spans="1:29">
      <c r="A237" s="103">
        <v>23</v>
      </c>
      <c r="AC237" s="105">
        <v>0</v>
      </c>
    </row>
    <row r="238" spans="1:29">
      <c r="A238" s="103">
        <v>23</v>
      </c>
      <c r="AC238" s="105">
        <v>4</v>
      </c>
    </row>
    <row r="239" spans="1:29">
      <c r="A239" s="103">
        <v>23</v>
      </c>
      <c r="AC239" s="105">
        <v>15.5</v>
      </c>
    </row>
    <row r="240" spans="1:29">
      <c r="A240" s="103">
        <v>23</v>
      </c>
      <c r="AC240" s="105">
        <v>49</v>
      </c>
    </row>
    <row r="241" spans="1:29">
      <c r="A241" s="103">
        <v>23</v>
      </c>
      <c r="AC241" s="105">
        <v>0</v>
      </c>
    </row>
    <row r="242" spans="1:29">
      <c r="A242" s="103">
        <v>23</v>
      </c>
      <c r="AC242" s="105">
        <v>6</v>
      </c>
    </row>
    <row r="243" spans="1:29">
      <c r="A243" s="103">
        <v>23</v>
      </c>
      <c r="AC243" s="105">
        <v>0</v>
      </c>
    </row>
    <row r="244" spans="1:29">
      <c r="A244" s="103">
        <v>23</v>
      </c>
      <c r="AC244" s="105">
        <v>7</v>
      </c>
    </row>
    <row r="245" spans="1:29">
      <c r="A245" s="103">
        <v>23</v>
      </c>
      <c r="AC245" s="105">
        <v>5</v>
      </c>
    </row>
    <row r="246" spans="1:29">
      <c r="A246" s="103">
        <v>23</v>
      </c>
      <c r="AC246" s="105">
        <v>1</v>
      </c>
    </row>
    <row r="247" spans="1:29">
      <c r="A247" s="103">
        <v>23</v>
      </c>
      <c r="AC247" s="105">
        <v>3</v>
      </c>
    </row>
    <row r="248" spans="1:29">
      <c r="A248" s="103">
        <v>23</v>
      </c>
      <c r="AC248" s="105">
        <v>3</v>
      </c>
    </row>
    <row r="249" spans="1:29">
      <c r="A249" s="103">
        <v>23</v>
      </c>
      <c r="AC249" s="105">
        <v>1.5</v>
      </c>
    </row>
    <row r="250" spans="1:29">
      <c r="A250" s="103">
        <v>23</v>
      </c>
      <c r="AC250" s="105">
        <v>4</v>
      </c>
    </row>
    <row r="251" spans="1:29">
      <c r="A251" s="103">
        <v>23</v>
      </c>
      <c r="AC251" s="105">
        <v>6</v>
      </c>
    </row>
    <row r="252" spans="1:29">
      <c r="A252" s="103">
        <v>23</v>
      </c>
      <c r="AC252" s="105">
        <v>3</v>
      </c>
    </row>
    <row r="253" spans="1:29">
      <c r="A253" s="103">
        <v>23</v>
      </c>
      <c r="AC253" s="105">
        <v>4</v>
      </c>
    </row>
    <row r="254" spans="1:29">
      <c r="A254" s="103">
        <v>23</v>
      </c>
      <c r="AC254" s="105">
        <v>1</v>
      </c>
    </row>
    <row r="255" spans="1:29">
      <c r="A255" s="103">
        <v>23</v>
      </c>
      <c r="AC255" s="105">
        <v>6</v>
      </c>
    </row>
    <row r="256" spans="1:29">
      <c r="A256" s="103">
        <v>23</v>
      </c>
      <c r="AC256" s="105">
        <v>0</v>
      </c>
    </row>
    <row r="257" spans="1:29">
      <c r="A257" s="103">
        <v>23</v>
      </c>
      <c r="AC257" s="105">
        <v>0</v>
      </c>
    </row>
    <row r="258" spans="1:29">
      <c r="A258" s="103">
        <v>23</v>
      </c>
      <c r="AC258" s="105">
        <v>2</v>
      </c>
    </row>
    <row r="259" spans="1:29">
      <c r="A259" s="103">
        <v>23</v>
      </c>
      <c r="AC259" s="105">
        <v>11</v>
      </c>
    </row>
    <row r="260" spans="1:29">
      <c r="A260" s="103">
        <v>23</v>
      </c>
      <c r="AC260" s="105">
        <v>1</v>
      </c>
    </row>
    <row r="261" spans="1:29">
      <c r="A261" s="103">
        <v>23</v>
      </c>
      <c r="AC261" s="105">
        <v>1</v>
      </c>
    </row>
    <row r="262" spans="1:29">
      <c r="A262" s="103">
        <v>23</v>
      </c>
      <c r="AC262" s="105">
        <v>2</v>
      </c>
    </row>
    <row r="263" spans="1:29">
      <c r="A263" s="103">
        <v>23</v>
      </c>
      <c r="AC263" s="105">
        <v>1</v>
      </c>
    </row>
    <row r="264" spans="1:29">
      <c r="A264" s="103">
        <v>23</v>
      </c>
      <c r="AC264" s="105">
        <v>2</v>
      </c>
    </row>
    <row r="265" spans="1:29">
      <c r="A265" s="103">
        <v>23</v>
      </c>
      <c r="AC265" s="105">
        <v>0</v>
      </c>
    </row>
    <row r="266" spans="1:29">
      <c r="A266" s="103">
        <v>23</v>
      </c>
      <c r="AC266" s="105">
        <v>0</v>
      </c>
    </row>
    <row r="267" spans="1:29">
      <c r="A267" s="103">
        <v>23</v>
      </c>
      <c r="AC267" s="105">
        <v>1</v>
      </c>
    </row>
    <row r="268" spans="1:29">
      <c r="A268" s="103">
        <v>23</v>
      </c>
      <c r="AC268" s="105">
        <v>0</v>
      </c>
    </row>
    <row r="269" spans="1:29">
      <c r="A269" s="103">
        <v>23</v>
      </c>
      <c r="AC269" s="105">
        <v>1.5</v>
      </c>
    </row>
    <row r="270" spans="1:29">
      <c r="A270" s="103">
        <v>23</v>
      </c>
      <c r="AC270" s="105">
        <v>18</v>
      </c>
    </row>
    <row r="271" spans="1:29">
      <c r="A271" s="103">
        <v>23</v>
      </c>
      <c r="AC271" s="105">
        <v>6</v>
      </c>
    </row>
    <row r="272" spans="1:29">
      <c r="A272" s="103">
        <v>23</v>
      </c>
      <c r="AC272" s="105">
        <v>10</v>
      </c>
    </row>
    <row r="273" spans="1:29">
      <c r="A273" s="103">
        <v>23</v>
      </c>
      <c r="AC273" s="105">
        <v>200</v>
      </c>
    </row>
    <row r="274" spans="1:29">
      <c r="A274" s="103">
        <v>23</v>
      </c>
      <c r="AC274" s="105">
        <v>0</v>
      </c>
    </row>
    <row r="275" spans="1:29">
      <c r="A275" s="103">
        <v>24</v>
      </c>
      <c r="AC275" s="105">
        <v>7</v>
      </c>
    </row>
    <row r="276" spans="1:29">
      <c r="A276" s="103">
        <v>24</v>
      </c>
      <c r="AC276" s="105">
        <v>5</v>
      </c>
    </row>
    <row r="277" spans="1:29">
      <c r="A277" s="103">
        <v>24</v>
      </c>
      <c r="AC277" s="105">
        <v>0</v>
      </c>
    </row>
    <row r="278" spans="1:29">
      <c r="A278" s="103">
        <v>24</v>
      </c>
      <c r="AC278" s="105">
        <v>5.5</v>
      </c>
    </row>
    <row r="279" spans="1:29">
      <c r="A279" s="103">
        <v>24</v>
      </c>
      <c r="AC279" s="105">
        <v>7.5</v>
      </c>
    </row>
    <row r="280" spans="1:29">
      <c r="A280" s="103">
        <v>24</v>
      </c>
      <c r="AC280" s="105">
        <v>2</v>
      </c>
    </row>
    <row r="281" spans="1:29">
      <c r="A281" s="103">
        <v>24</v>
      </c>
      <c r="AC281" s="105">
        <v>15.5</v>
      </c>
    </row>
    <row r="282" spans="1:29">
      <c r="A282" s="103">
        <v>24</v>
      </c>
      <c r="AC282" s="105">
        <v>14.75</v>
      </c>
    </row>
    <row r="283" spans="1:29">
      <c r="A283" s="103">
        <v>24</v>
      </c>
      <c r="AC283" s="105">
        <v>1</v>
      </c>
    </row>
    <row r="284" spans="1:29">
      <c r="A284" s="103">
        <v>24</v>
      </c>
      <c r="AC284" s="105">
        <v>1</v>
      </c>
    </row>
    <row r="285" spans="1:29">
      <c r="A285" s="103">
        <v>24</v>
      </c>
      <c r="AC285" s="105">
        <v>96</v>
      </c>
    </row>
    <row r="286" spans="1:29">
      <c r="A286" s="103">
        <v>24</v>
      </c>
      <c r="AC286" s="105">
        <v>7.5</v>
      </c>
    </row>
    <row r="287" spans="1:29">
      <c r="A287" s="103">
        <v>24</v>
      </c>
      <c r="AC287" s="105">
        <v>7</v>
      </c>
    </row>
    <row r="288" spans="1:29">
      <c r="A288" s="103">
        <v>24</v>
      </c>
      <c r="AC288" s="105">
        <v>4</v>
      </c>
    </row>
    <row r="289" spans="1:29">
      <c r="A289" s="103">
        <v>24</v>
      </c>
      <c r="AC289" s="105">
        <v>10</v>
      </c>
    </row>
    <row r="290" spans="1:29">
      <c r="A290" s="103">
        <v>24</v>
      </c>
      <c r="AC290" s="105">
        <v>2</v>
      </c>
    </row>
    <row r="291" spans="1:29">
      <c r="A291" s="103">
        <v>24</v>
      </c>
      <c r="AC291" s="105">
        <v>5</v>
      </c>
    </row>
    <row r="292" spans="1:29">
      <c r="A292" s="103">
        <v>24</v>
      </c>
      <c r="AC292" s="105">
        <v>6</v>
      </c>
    </row>
    <row r="293" spans="1:29">
      <c r="A293" s="103">
        <v>24</v>
      </c>
      <c r="AC293" s="105">
        <v>5</v>
      </c>
    </row>
    <row r="294" spans="1:29">
      <c r="A294" s="103">
        <v>24</v>
      </c>
      <c r="AC294" s="105">
        <v>5</v>
      </c>
    </row>
    <row r="295" spans="1:29">
      <c r="A295" s="103">
        <v>24</v>
      </c>
      <c r="AC295" s="105">
        <v>6</v>
      </c>
    </row>
    <row r="296" spans="1:29">
      <c r="A296" s="103">
        <v>24</v>
      </c>
      <c r="AC296" s="105">
        <v>3</v>
      </c>
    </row>
    <row r="297" spans="1:29">
      <c r="A297" s="103">
        <v>24</v>
      </c>
      <c r="AC297" s="105">
        <v>3</v>
      </c>
    </row>
    <row r="298" spans="1:29">
      <c r="A298" s="103">
        <v>24</v>
      </c>
      <c r="AC298" s="105">
        <v>0</v>
      </c>
    </row>
    <row r="299" spans="1:29">
      <c r="A299" s="103">
        <v>24</v>
      </c>
      <c r="AC299" s="105">
        <v>1.3</v>
      </c>
    </row>
    <row r="300" spans="1:29">
      <c r="A300" s="103">
        <v>24</v>
      </c>
      <c r="AC300" s="105">
        <v>7</v>
      </c>
    </row>
    <row r="301" spans="1:29">
      <c r="A301" s="103">
        <v>24</v>
      </c>
      <c r="AC301" s="105">
        <v>3</v>
      </c>
    </row>
    <row r="302" spans="1:29">
      <c r="A302" s="103">
        <v>24</v>
      </c>
      <c r="AC302" s="105">
        <v>0</v>
      </c>
    </row>
    <row r="303" spans="1:29">
      <c r="A303" s="103">
        <v>24</v>
      </c>
      <c r="AC303" s="105">
        <v>8</v>
      </c>
    </row>
    <row r="304" spans="1:29">
      <c r="A304" s="103">
        <v>24</v>
      </c>
      <c r="AC304" s="105">
        <v>0</v>
      </c>
    </row>
    <row r="305" spans="1:29">
      <c r="A305" s="103">
        <v>24</v>
      </c>
      <c r="AC305" s="105">
        <v>1</v>
      </c>
    </row>
    <row r="306" spans="1:29">
      <c r="A306" s="103">
        <v>24</v>
      </c>
      <c r="AC306" s="105">
        <v>1</v>
      </c>
    </row>
    <row r="307" spans="1:29">
      <c r="A307" s="103">
        <v>24</v>
      </c>
      <c r="AC307" s="105">
        <v>1</v>
      </c>
    </row>
    <row r="308" spans="1:29">
      <c r="A308" s="103">
        <v>24</v>
      </c>
      <c r="AC308" s="105">
        <v>0</v>
      </c>
    </row>
    <row r="309" spans="1:29">
      <c r="A309" s="103">
        <v>24</v>
      </c>
      <c r="AC309" s="105">
        <v>0</v>
      </c>
    </row>
    <row r="310" spans="1:29">
      <c r="A310" s="103">
        <v>24</v>
      </c>
      <c r="AC310" s="105">
        <v>0</v>
      </c>
    </row>
    <row r="311" spans="1:29">
      <c r="A311" s="103">
        <v>24</v>
      </c>
      <c r="AC311" s="105">
        <v>36</v>
      </c>
    </row>
    <row r="312" spans="1:29">
      <c r="A312" s="103">
        <v>24</v>
      </c>
      <c r="AC312" s="105">
        <v>1.5</v>
      </c>
    </row>
    <row r="313" spans="1:29">
      <c r="A313" s="103">
        <v>24</v>
      </c>
      <c r="AC313" s="105">
        <v>2</v>
      </c>
    </row>
    <row r="314" spans="1:29">
      <c r="A314" s="103">
        <v>24</v>
      </c>
      <c r="AC314" s="105">
        <v>0</v>
      </c>
    </row>
    <row r="315" spans="1:29">
      <c r="A315" s="103">
        <v>25</v>
      </c>
      <c r="AC315" s="105">
        <v>37</v>
      </c>
    </row>
    <row r="316" spans="1:29">
      <c r="A316" s="103">
        <v>25</v>
      </c>
      <c r="AC316" s="105">
        <v>35</v>
      </c>
    </row>
    <row r="317" spans="1:29">
      <c r="A317" s="103">
        <v>25</v>
      </c>
      <c r="AC317" s="105">
        <v>20</v>
      </c>
    </row>
    <row r="318" spans="1:29">
      <c r="A318" s="103">
        <v>25</v>
      </c>
      <c r="AC318" s="105">
        <v>3.5</v>
      </c>
    </row>
    <row r="319" spans="1:29">
      <c r="A319" s="103">
        <v>25</v>
      </c>
      <c r="AC319" s="105">
        <v>3.5</v>
      </c>
    </row>
    <row r="320" spans="1:29">
      <c r="A320" s="103">
        <v>25</v>
      </c>
      <c r="AC320" s="105">
        <v>5.5</v>
      </c>
    </row>
    <row r="321" spans="1:29">
      <c r="A321" s="103">
        <v>25</v>
      </c>
      <c r="AC321" s="105">
        <v>20.5</v>
      </c>
    </row>
    <row r="322" spans="1:29">
      <c r="A322" s="103">
        <v>25</v>
      </c>
      <c r="AC322" s="105">
        <v>50</v>
      </c>
    </row>
    <row r="323" spans="1:29">
      <c r="A323" s="103">
        <v>25</v>
      </c>
      <c r="AC323" s="105">
        <v>18.5</v>
      </c>
    </row>
    <row r="324" spans="1:29">
      <c r="A324" s="103">
        <v>25</v>
      </c>
      <c r="AC324" s="105">
        <v>7</v>
      </c>
    </row>
    <row r="325" spans="1:29">
      <c r="A325" s="103">
        <v>25</v>
      </c>
      <c r="AC325" s="105">
        <v>25.75</v>
      </c>
    </row>
    <row r="326" spans="1:29">
      <c r="A326" s="103">
        <v>25</v>
      </c>
      <c r="AC326" s="105">
        <v>2.5</v>
      </c>
    </row>
    <row r="327" spans="1:29">
      <c r="A327" s="103">
        <v>25</v>
      </c>
      <c r="AC327" s="105">
        <v>1.5</v>
      </c>
    </row>
    <row r="328" spans="1:29">
      <c r="A328" s="103">
        <v>25</v>
      </c>
      <c r="AC328" s="105">
        <v>7</v>
      </c>
    </row>
    <row r="329" spans="1:29">
      <c r="A329" s="103">
        <v>25</v>
      </c>
      <c r="AC329" s="105">
        <v>6</v>
      </c>
    </row>
    <row r="330" spans="1:29">
      <c r="A330" s="103">
        <v>25</v>
      </c>
      <c r="AC330" s="105">
        <v>4</v>
      </c>
    </row>
    <row r="331" spans="1:29">
      <c r="A331" s="103">
        <v>25</v>
      </c>
      <c r="AC331" s="105">
        <v>0</v>
      </c>
    </row>
    <row r="332" spans="1:29">
      <c r="A332" s="103">
        <v>25</v>
      </c>
      <c r="AC332" s="105">
        <v>2</v>
      </c>
    </row>
    <row r="333" spans="1:29">
      <c r="A333" s="103">
        <v>25</v>
      </c>
      <c r="AC333" s="105">
        <v>1</v>
      </c>
    </row>
    <row r="334" spans="1:29">
      <c r="A334" s="103">
        <v>25</v>
      </c>
      <c r="AC334" s="105">
        <v>3</v>
      </c>
    </row>
    <row r="335" spans="1:29">
      <c r="A335" s="103">
        <v>25</v>
      </c>
      <c r="AC335" s="105">
        <v>0</v>
      </c>
    </row>
    <row r="336" spans="1:29">
      <c r="A336" s="103">
        <v>25</v>
      </c>
      <c r="AC336" s="105">
        <v>3</v>
      </c>
    </row>
    <row r="337" spans="1:29">
      <c r="A337" s="103">
        <v>25</v>
      </c>
      <c r="AC337" s="105">
        <v>15</v>
      </c>
    </row>
    <row r="338" spans="1:29">
      <c r="A338" s="103">
        <v>25</v>
      </c>
      <c r="AC338" s="105">
        <v>0</v>
      </c>
    </row>
    <row r="339" spans="1:29">
      <c r="A339" s="103">
        <v>26</v>
      </c>
      <c r="AC339" s="105">
        <v>15</v>
      </c>
    </row>
    <row r="340" spans="1:29">
      <c r="A340" s="103">
        <v>26</v>
      </c>
      <c r="AC340" s="105">
        <v>2</v>
      </c>
    </row>
    <row r="341" spans="1:29">
      <c r="A341" s="103">
        <v>26</v>
      </c>
      <c r="AC341" s="105">
        <v>20.399999999999999</v>
      </c>
    </row>
    <row r="342" spans="1:29">
      <c r="A342" s="103">
        <v>26</v>
      </c>
      <c r="AC342" s="105">
        <v>7</v>
      </c>
    </row>
    <row r="343" spans="1:29">
      <c r="A343" s="103">
        <v>26</v>
      </c>
      <c r="AC343" s="105">
        <v>11.75</v>
      </c>
    </row>
    <row r="344" spans="1:29">
      <c r="A344" s="103">
        <v>26</v>
      </c>
      <c r="AC344" s="105">
        <v>1</v>
      </c>
    </row>
    <row r="345" spans="1:29">
      <c r="A345" s="103">
        <v>26</v>
      </c>
      <c r="AC345" s="105">
        <v>1</v>
      </c>
    </row>
    <row r="346" spans="1:29">
      <c r="A346" s="103">
        <v>26</v>
      </c>
      <c r="AC346" s="105">
        <v>3</v>
      </c>
    </row>
    <row r="347" spans="1:29">
      <c r="A347" s="103">
        <v>26</v>
      </c>
      <c r="AC347" s="105">
        <v>14</v>
      </c>
    </row>
    <row r="348" spans="1:29">
      <c r="A348" s="103">
        <v>26</v>
      </c>
      <c r="AC348" s="105">
        <v>1</v>
      </c>
    </row>
    <row r="349" spans="1:29">
      <c r="A349" s="103">
        <v>27</v>
      </c>
      <c r="AC349" s="105">
        <v>10.75</v>
      </c>
    </row>
    <row r="350" spans="1:29">
      <c r="A350" s="103">
        <v>27</v>
      </c>
      <c r="AC350" s="105">
        <v>0</v>
      </c>
    </row>
    <row r="351" spans="1:29">
      <c r="A351" s="103">
        <v>28</v>
      </c>
      <c r="AC351" s="105">
        <v>47</v>
      </c>
    </row>
    <row r="352" spans="1:29">
      <c r="A352" s="103">
        <v>30</v>
      </c>
      <c r="AC352" s="105">
        <v>25.5</v>
      </c>
    </row>
    <row r="353" spans="1:29">
      <c r="A353" s="103">
        <v>31</v>
      </c>
      <c r="AC353" s="105">
        <v>1</v>
      </c>
    </row>
    <row r="354" spans="1:29">
      <c r="A354" s="103">
        <v>35</v>
      </c>
      <c r="AC354" s="105">
        <v>2</v>
      </c>
    </row>
  </sheetData>
  <mergeCells count="1">
    <mergeCell ref="A2:B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74632-92F0-494D-8791-9CA4245292FB}">
  <dimension ref="A1:M22"/>
  <sheetViews>
    <sheetView workbookViewId="0"/>
  </sheetViews>
  <sheetFormatPr defaultRowHeight="12.75"/>
  <cols>
    <col min="1" max="1" width="23.5703125" customWidth="1"/>
    <col min="2" max="2" width="30.42578125" customWidth="1"/>
    <col min="3" max="3" width="31.42578125" customWidth="1"/>
  </cols>
  <sheetData>
    <row r="1" spans="1:3" ht="36">
      <c r="A1" s="96" t="s">
        <v>605</v>
      </c>
    </row>
    <row r="2" spans="1:3" ht="72.75" customHeight="1">
      <c r="A2" s="107" t="s">
        <v>618</v>
      </c>
      <c r="B2" s="107"/>
      <c r="C2" s="107"/>
    </row>
    <row r="4" spans="1:3" ht="23.25">
      <c r="A4" s="6" t="s">
        <v>12</v>
      </c>
      <c r="B4" s="88" t="s">
        <v>619</v>
      </c>
      <c r="C4" s="4" t="s">
        <v>620</v>
      </c>
    </row>
    <row r="5" spans="1:3">
      <c r="A5" s="4">
        <v>1</v>
      </c>
      <c r="B5" s="5">
        <v>146</v>
      </c>
      <c r="C5" s="80">
        <v>0.41833810888252149</v>
      </c>
    </row>
    <row r="6" spans="1:3">
      <c r="A6" s="4">
        <v>2</v>
      </c>
      <c r="B6" s="5">
        <v>94</v>
      </c>
      <c r="C6" s="80">
        <v>0.2693409742120344</v>
      </c>
    </row>
    <row r="7" spans="1:3">
      <c r="A7" s="4">
        <v>3</v>
      </c>
      <c r="B7" s="5">
        <v>79</v>
      </c>
      <c r="C7" s="80">
        <v>0.22636103151862463</v>
      </c>
    </row>
    <row r="8" spans="1:3">
      <c r="A8" s="4">
        <v>4</v>
      </c>
      <c r="B8" s="5">
        <v>21</v>
      </c>
      <c r="C8" s="80">
        <v>6.0171919770773637E-2</v>
      </c>
    </row>
    <row r="9" spans="1:3">
      <c r="A9" s="4">
        <v>5</v>
      </c>
      <c r="B9" s="5">
        <v>9</v>
      </c>
      <c r="C9" s="80">
        <v>2.5787965616045846E-2</v>
      </c>
    </row>
    <row r="10" spans="1:3">
      <c r="A10" s="4" t="s">
        <v>614</v>
      </c>
      <c r="B10" s="5">
        <v>349</v>
      </c>
      <c r="C10" s="80">
        <v>1</v>
      </c>
    </row>
    <row r="19" spans="4:13" ht="40.5" customHeight="1">
      <c r="D19" s="108" t="s">
        <v>621</v>
      </c>
      <c r="E19" s="108"/>
      <c r="F19" s="108"/>
      <c r="G19" s="108"/>
      <c r="H19" s="108"/>
      <c r="I19" s="108"/>
      <c r="J19" s="108"/>
      <c r="K19" s="108"/>
      <c r="L19" s="108"/>
    </row>
    <row r="20" spans="4:13" ht="12.75" customHeight="1">
      <c r="E20" s="110"/>
      <c r="F20" s="110"/>
      <c r="G20" s="110"/>
      <c r="H20" s="110"/>
      <c r="I20" s="110"/>
      <c r="J20" s="110"/>
      <c r="K20" s="110"/>
      <c r="L20" s="110"/>
      <c r="M20" s="110"/>
    </row>
    <row r="22" spans="4:13" ht="13.5" customHeight="1">
      <c r="E22" s="109"/>
      <c r="F22" s="109"/>
      <c r="G22" s="109"/>
      <c r="H22" s="109"/>
      <c r="I22" s="109"/>
      <c r="J22" s="109"/>
      <c r="K22" s="109"/>
      <c r="L22" s="109"/>
      <c r="M22" s="109"/>
    </row>
  </sheetData>
  <mergeCells count="4">
    <mergeCell ref="D19:L19"/>
    <mergeCell ref="A2:C2"/>
    <mergeCell ref="E22:M22"/>
    <mergeCell ref="E20:M20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A79FE-0413-4E33-AF72-F3673893AFAA}">
  <dimension ref="A1:M480"/>
  <sheetViews>
    <sheetView workbookViewId="0">
      <selection activeCell="D8" sqref="D8"/>
    </sheetView>
  </sheetViews>
  <sheetFormatPr defaultRowHeight="12.75"/>
  <cols>
    <col min="1" max="1" width="36.5703125" bestFit="1" customWidth="1"/>
    <col min="2" max="2" width="24.7109375" customWidth="1"/>
    <col min="3" max="3" width="10.7109375" customWidth="1"/>
    <col min="4" max="4" width="47.5703125" customWidth="1"/>
    <col min="5" max="5" width="21.42578125" customWidth="1"/>
    <col min="6" max="6" width="28.140625" customWidth="1"/>
    <col min="7" max="7" width="25.85546875" bestFit="1" customWidth="1"/>
    <col min="8" max="8" width="11.140625" customWidth="1"/>
  </cols>
  <sheetData>
    <row r="1" spans="1:13" ht="59.25" customHeight="1">
      <c r="A1" s="97" t="s">
        <v>605</v>
      </c>
      <c r="B1" s="107" t="s">
        <v>622</v>
      </c>
      <c r="C1" s="107"/>
      <c r="D1" s="107"/>
    </row>
    <row r="4" spans="1:13">
      <c r="B4" s="4" t="s">
        <v>25</v>
      </c>
    </row>
    <row r="5" spans="1:13" ht="15">
      <c r="B5" s="81">
        <v>0</v>
      </c>
    </row>
    <row r="6" spans="1:13" ht="15">
      <c r="B6" s="82">
        <v>1.5</v>
      </c>
    </row>
    <row r="7" spans="1:13" ht="15">
      <c r="B7" s="81">
        <v>1.99</v>
      </c>
      <c r="C7" s="13"/>
    </row>
    <row r="8" spans="1:13" ht="15">
      <c r="B8" s="81">
        <v>2.75</v>
      </c>
      <c r="C8" s="14"/>
    </row>
    <row r="9" spans="1:13" ht="15">
      <c r="B9" s="81">
        <v>4.99</v>
      </c>
      <c r="C9" s="14"/>
    </row>
    <row r="10" spans="1:13" ht="15">
      <c r="B10" s="81">
        <v>5</v>
      </c>
      <c r="C10" s="14"/>
      <c r="M10" t="s">
        <v>623</v>
      </c>
    </row>
    <row r="11" spans="1:13" ht="15">
      <c r="B11" s="81">
        <v>5.99</v>
      </c>
      <c r="C11" s="14"/>
    </row>
    <row r="12" spans="1:13" ht="15">
      <c r="B12" s="81">
        <v>6.72</v>
      </c>
      <c r="C12" s="14"/>
      <c r="E12" s="111"/>
      <c r="F12" s="111"/>
    </row>
    <row r="13" spans="1:13" ht="15">
      <c r="B13" s="81">
        <v>8.99</v>
      </c>
      <c r="C13" s="14"/>
    </row>
    <row r="14" spans="1:13" ht="15">
      <c r="B14" s="81">
        <v>9.4</v>
      </c>
      <c r="C14" s="14"/>
    </row>
    <row r="15" spans="1:13" ht="15">
      <c r="B15" s="81">
        <v>9.5</v>
      </c>
      <c r="C15" s="14"/>
      <c r="L15" s="12"/>
    </row>
    <row r="16" spans="1:13" ht="21" customHeight="1">
      <c r="B16" s="81">
        <v>9.8000000000000007</v>
      </c>
      <c r="C16" s="14"/>
    </row>
    <row r="17" spans="2:12" ht="19.5" customHeight="1">
      <c r="B17" s="81">
        <v>9.99</v>
      </c>
      <c r="C17" s="14"/>
      <c r="F17" s="112" t="s">
        <v>624</v>
      </c>
      <c r="G17" s="109"/>
      <c r="H17" s="109"/>
      <c r="I17" s="109"/>
      <c r="J17" s="109"/>
      <c r="K17" s="109"/>
      <c r="L17" s="109"/>
    </row>
    <row r="18" spans="2:12" ht="15">
      <c r="B18" s="81">
        <v>10</v>
      </c>
      <c r="C18" s="14"/>
      <c r="F18" s="8" t="s">
        <v>625</v>
      </c>
      <c r="G18" s="8"/>
      <c r="H18" s="8"/>
      <c r="I18" s="8"/>
      <c r="J18" s="8"/>
      <c r="K18" s="8"/>
      <c r="L18" s="8"/>
    </row>
    <row r="19" spans="2:12" ht="15">
      <c r="B19" s="81">
        <v>10.199999999999999</v>
      </c>
      <c r="C19" s="14"/>
      <c r="F19" s="8" t="s">
        <v>626</v>
      </c>
    </row>
    <row r="20" spans="2:12" ht="15">
      <c r="B20" s="81">
        <v>10.5</v>
      </c>
      <c r="C20" s="14"/>
    </row>
    <row r="21" spans="2:12" ht="15">
      <c r="B21" s="81">
        <v>10.6</v>
      </c>
      <c r="C21" s="14"/>
      <c r="D21" s="15"/>
    </row>
    <row r="22" spans="2:12" ht="15">
      <c r="B22" s="81">
        <v>10.7</v>
      </c>
      <c r="C22" s="14"/>
      <c r="D22" s="15"/>
    </row>
    <row r="23" spans="2:12" ht="15">
      <c r="B23" s="81">
        <v>10.8</v>
      </c>
      <c r="C23" s="14"/>
      <c r="D23" s="15"/>
    </row>
    <row r="24" spans="2:12" ht="15">
      <c r="B24" s="81">
        <v>10.9</v>
      </c>
      <c r="C24" s="14"/>
      <c r="D24" s="15"/>
    </row>
    <row r="25" spans="2:12" ht="15">
      <c r="B25" s="81">
        <v>10.99</v>
      </c>
      <c r="C25" s="14"/>
      <c r="D25" s="15"/>
    </row>
    <row r="26" spans="2:12" ht="15">
      <c r="B26" s="81">
        <v>12</v>
      </c>
      <c r="C26" s="14"/>
      <c r="D26" s="15"/>
    </row>
    <row r="27" spans="2:12" ht="15">
      <c r="B27" s="81">
        <v>12.5</v>
      </c>
      <c r="C27" s="14"/>
      <c r="D27" s="15"/>
    </row>
    <row r="28" spans="2:12" ht="15">
      <c r="B28" s="81">
        <v>12.9</v>
      </c>
      <c r="C28" s="14"/>
      <c r="D28" s="15"/>
    </row>
    <row r="29" spans="2:12" ht="15">
      <c r="B29" s="81">
        <v>13.4</v>
      </c>
      <c r="C29" s="14"/>
      <c r="D29" s="15"/>
    </row>
    <row r="30" spans="2:12" ht="15">
      <c r="B30" s="81">
        <v>13.99</v>
      </c>
      <c r="C30" s="14"/>
      <c r="D30" s="15"/>
    </row>
    <row r="31" spans="2:12" ht="15">
      <c r="B31" s="81">
        <v>14.4</v>
      </c>
      <c r="C31" s="14"/>
      <c r="D31" s="15"/>
    </row>
    <row r="32" spans="2:12" ht="15">
      <c r="B32" s="81">
        <v>14.6</v>
      </c>
      <c r="C32" s="14"/>
      <c r="D32" s="15"/>
    </row>
    <row r="33" spans="2:4" ht="15">
      <c r="B33" s="81">
        <v>14.99</v>
      </c>
      <c r="C33" s="14"/>
      <c r="D33" s="15"/>
    </row>
    <row r="34" spans="2:4" ht="15">
      <c r="B34" s="81">
        <v>15</v>
      </c>
      <c r="C34" s="14"/>
      <c r="D34" s="15"/>
    </row>
    <row r="35" spans="2:4" ht="15">
      <c r="B35" s="81">
        <v>15.45</v>
      </c>
      <c r="C35" s="14"/>
      <c r="D35" s="15"/>
    </row>
    <row r="36" spans="2:4" ht="15">
      <c r="B36" s="81">
        <v>15.6</v>
      </c>
      <c r="C36" s="14"/>
      <c r="D36" s="15"/>
    </row>
    <row r="37" spans="2:4" ht="15">
      <c r="B37" s="81">
        <v>15.7</v>
      </c>
      <c r="C37" s="14"/>
      <c r="D37" s="15"/>
    </row>
    <row r="38" spans="2:4" ht="15">
      <c r="B38" s="81">
        <v>15.99</v>
      </c>
      <c r="C38" s="14"/>
      <c r="D38" s="15"/>
    </row>
    <row r="39" spans="2:4" ht="15">
      <c r="B39" s="81">
        <v>17.989999999999998</v>
      </c>
      <c r="C39" s="14"/>
      <c r="D39" s="15"/>
    </row>
    <row r="40" spans="2:4" ht="15">
      <c r="B40" s="81">
        <v>18</v>
      </c>
      <c r="C40" s="14"/>
      <c r="D40" s="15"/>
    </row>
    <row r="41" spans="2:4" ht="15">
      <c r="B41" s="81">
        <v>18.989999999999998</v>
      </c>
      <c r="C41" s="14"/>
      <c r="D41" s="15"/>
    </row>
    <row r="42" spans="2:4" ht="15">
      <c r="B42" s="81">
        <v>19.8</v>
      </c>
      <c r="C42" s="14"/>
      <c r="D42" s="15"/>
    </row>
    <row r="43" spans="2:4" ht="15">
      <c r="B43" s="81">
        <v>19.989999999999998</v>
      </c>
      <c r="C43" s="14"/>
      <c r="D43" s="15"/>
    </row>
    <row r="44" spans="2:4" ht="15">
      <c r="B44" s="81">
        <v>20</v>
      </c>
      <c r="C44" s="14"/>
      <c r="D44" s="15"/>
    </row>
    <row r="45" spans="2:4" ht="15">
      <c r="B45" s="81">
        <v>20.5</v>
      </c>
      <c r="C45" s="14"/>
      <c r="D45" s="15"/>
    </row>
    <row r="46" spans="2:4" ht="15">
      <c r="B46" s="81">
        <v>20.6</v>
      </c>
      <c r="C46" s="14"/>
      <c r="D46" s="15"/>
    </row>
    <row r="47" spans="2:4" ht="15">
      <c r="B47" s="81">
        <v>20.99</v>
      </c>
      <c r="C47" s="14"/>
      <c r="D47" s="15"/>
    </row>
    <row r="48" spans="2:4" ht="15">
      <c r="B48" s="81">
        <v>22.5</v>
      </c>
      <c r="C48" s="14"/>
      <c r="D48" s="15"/>
    </row>
    <row r="49" spans="2:4" ht="15">
      <c r="B49" s="81">
        <v>22.6</v>
      </c>
      <c r="C49" s="14"/>
      <c r="D49" s="15"/>
    </row>
    <row r="50" spans="2:4" ht="15">
      <c r="B50" s="81">
        <v>24.99</v>
      </c>
      <c r="C50" s="14"/>
      <c r="D50" s="15"/>
    </row>
    <row r="51" spans="2:4" ht="15">
      <c r="B51" s="81">
        <v>25</v>
      </c>
      <c r="C51" s="14"/>
      <c r="D51" s="15"/>
    </row>
    <row r="52" spans="2:4" ht="15">
      <c r="B52" s="81">
        <v>25.8</v>
      </c>
      <c r="C52" s="14"/>
      <c r="D52" s="15"/>
    </row>
    <row r="53" spans="2:4" ht="15">
      <c r="B53" s="81">
        <v>25.9</v>
      </c>
      <c r="C53" s="14"/>
      <c r="D53" s="15"/>
    </row>
    <row r="54" spans="2:4" ht="15">
      <c r="B54" s="81">
        <v>29.99</v>
      </c>
      <c r="C54" s="14"/>
      <c r="D54" s="15"/>
    </row>
    <row r="55" spans="2:4" ht="15">
      <c r="B55" s="81">
        <v>30</v>
      </c>
      <c r="C55" s="14"/>
      <c r="D55" s="15"/>
    </row>
    <row r="56" spans="2:4" ht="15">
      <c r="B56" s="81">
        <v>30.5</v>
      </c>
      <c r="C56" s="14"/>
      <c r="D56" s="15"/>
    </row>
    <row r="57" spans="2:4" ht="15">
      <c r="B57" s="81">
        <v>31.5</v>
      </c>
      <c r="C57" s="14"/>
      <c r="D57" s="15"/>
    </row>
    <row r="58" spans="2:4" ht="15">
      <c r="B58" s="81">
        <v>32.99</v>
      </c>
      <c r="C58" s="14"/>
      <c r="D58" s="15"/>
    </row>
    <row r="59" spans="2:4" ht="15">
      <c r="B59" s="81">
        <v>35</v>
      </c>
      <c r="C59" s="14"/>
      <c r="D59" s="15"/>
    </row>
    <row r="60" spans="2:4" ht="15">
      <c r="B60" s="81">
        <v>35.5</v>
      </c>
      <c r="C60" s="14"/>
      <c r="D60" s="15"/>
    </row>
    <row r="61" spans="2:4" ht="15">
      <c r="B61" s="81">
        <v>35.700000000000003</v>
      </c>
      <c r="C61" s="14"/>
      <c r="D61" s="15"/>
    </row>
    <row r="62" spans="2:4" ht="15">
      <c r="B62" s="81">
        <v>36.9</v>
      </c>
      <c r="C62" s="14"/>
      <c r="D62" s="15"/>
    </row>
    <row r="63" spans="2:4" ht="15">
      <c r="B63" s="81">
        <v>39.99</v>
      </c>
      <c r="C63" s="14"/>
      <c r="D63" s="15"/>
    </row>
    <row r="64" spans="2:4" ht="15">
      <c r="B64" s="81">
        <v>40</v>
      </c>
      <c r="C64" s="14"/>
      <c r="D64" s="15"/>
    </row>
    <row r="65" spans="2:4" ht="15">
      <c r="B65" s="81">
        <v>40.5</v>
      </c>
      <c r="C65" s="14"/>
      <c r="D65" s="15"/>
    </row>
    <row r="66" spans="2:4" ht="15">
      <c r="B66" s="81">
        <v>40.6</v>
      </c>
      <c r="C66" s="14"/>
      <c r="D66" s="15"/>
    </row>
    <row r="67" spans="2:4" ht="15">
      <c r="B67" s="81">
        <v>45</v>
      </c>
      <c r="C67" s="14"/>
      <c r="D67" s="15"/>
    </row>
    <row r="68" spans="2:4" ht="15">
      <c r="B68" s="81">
        <v>49.99</v>
      </c>
      <c r="C68" s="14"/>
      <c r="D68" s="15"/>
    </row>
    <row r="69" spans="2:4" ht="15">
      <c r="B69" s="81">
        <v>50</v>
      </c>
      <c r="C69" s="14"/>
      <c r="D69" s="15"/>
    </row>
    <row r="70" spans="2:4" ht="15">
      <c r="B70" s="81">
        <v>50.5</v>
      </c>
      <c r="C70" s="14"/>
      <c r="D70" s="15"/>
    </row>
    <row r="71" spans="2:4" ht="15">
      <c r="B71" s="81">
        <v>50.99</v>
      </c>
      <c r="C71" s="14"/>
      <c r="D71" s="15"/>
    </row>
    <row r="72" spans="2:4" ht="15">
      <c r="B72" s="81">
        <v>55.9</v>
      </c>
      <c r="C72" s="14"/>
      <c r="D72" s="15"/>
    </row>
    <row r="73" spans="2:4" ht="15">
      <c r="B73" s="81">
        <v>69.989999999999995</v>
      </c>
      <c r="C73" s="14"/>
      <c r="D73" s="15"/>
    </row>
    <row r="74" spans="2:4" ht="15">
      <c r="B74" s="81">
        <v>70</v>
      </c>
      <c r="C74" s="14"/>
      <c r="D74" s="15"/>
    </row>
    <row r="75" spans="2:4" ht="15">
      <c r="B75" s="81">
        <v>70.900000000000006</v>
      </c>
      <c r="C75" s="14"/>
      <c r="D75" s="15"/>
    </row>
    <row r="76" spans="2:4" ht="15">
      <c r="B76" s="81">
        <v>75</v>
      </c>
      <c r="C76" s="14"/>
      <c r="D76" s="15"/>
    </row>
    <row r="77" spans="2:4" ht="15">
      <c r="B77" s="81">
        <v>80</v>
      </c>
      <c r="C77" s="14"/>
      <c r="D77" s="15"/>
    </row>
    <row r="78" spans="2:4" ht="15">
      <c r="B78" s="81">
        <v>90</v>
      </c>
      <c r="C78" s="14"/>
      <c r="D78" s="15"/>
    </row>
    <row r="79" spans="2:4" ht="15">
      <c r="B79" s="81">
        <v>99.98</v>
      </c>
      <c r="C79" s="14"/>
      <c r="D79" s="15"/>
    </row>
    <row r="80" spans="2:4" ht="15">
      <c r="B80" s="81">
        <v>100</v>
      </c>
      <c r="C80" s="14"/>
      <c r="D80" s="15"/>
    </row>
    <row r="81" spans="2:4" ht="15">
      <c r="B81" s="81">
        <v>100.5</v>
      </c>
      <c r="C81" s="14"/>
      <c r="D81" s="15"/>
    </row>
    <row r="82" spans="2:4" ht="15">
      <c r="B82" s="81">
        <v>100.7</v>
      </c>
      <c r="C82" s="14"/>
      <c r="D82" s="15"/>
    </row>
    <row r="83" spans="2:4" ht="15">
      <c r="B83" s="81">
        <v>110.5</v>
      </c>
      <c r="C83" s="14"/>
      <c r="D83" s="15"/>
    </row>
    <row r="84" spans="2:4" ht="15">
      <c r="B84" s="81">
        <v>120.59</v>
      </c>
      <c r="C84" s="14"/>
      <c r="D84" s="15"/>
    </row>
    <row r="85" spans="2:4" ht="15">
      <c r="B85" s="81">
        <v>125.8</v>
      </c>
      <c r="C85" s="14"/>
      <c r="D85" s="15"/>
    </row>
    <row r="86" spans="2:4" ht="15">
      <c r="B86" s="81">
        <v>130</v>
      </c>
      <c r="C86" s="14"/>
      <c r="D86" s="15"/>
    </row>
    <row r="87" spans="2:4" ht="15">
      <c r="B87" s="81">
        <v>150</v>
      </c>
      <c r="C87" s="14"/>
      <c r="D87" s="15"/>
    </row>
    <row r="88" spans="2:4" ht="15">
      <c r="B88" s="81">
        <v>150.9</v>
      </c>
      <c r="C88" s="14"/>
      <c r="D88" s="15"/>
    </row>
    <row r="89" spans="2:4" ht="15">
      <c r="B89" s="81">
        <v>150.99</v>
      </c>
      <c r="C89" s="14"/>
      <c r="D89" s="15"/>
    </row>
    <row r="90" spans="2:4" ht="15">
      <c r="B90" s="81">
        <v>200</v>
      </c>
      <c r="C90" s="14"/>
      <c r="D90" s="15"/>
    </row>
    <row r="91" spans="2:4" ht="15">
      <c r="B91" s="81">
        <v>200.6</v>
      </c>
      <c r="C91" s="14"/>
      <c r="D91" s="15"/>
    </row>
    <row r="92" spans="2:4" ht="15">
      <c r="B92" s="81">
        <v>250.5</v>
      </c>
      <c r="C92" s="14"/>
      <c r="D92" s="15"/>
    </row>
    <row r="93" spans="2:4" ht="15">
      <c r="B93" s="81">
        <v>250.6</v>
      </c>
      <c r="C93" s="14"/>
      <c r="D93" s="15"/>
    </row>
    <row r="94" spans="2:4" ht="15">
      <c r="B94" s="81">
        <v>250.75</v>
      </c>
      <c r="C94" s="14"/>
      <c r="D94" s="15"/>
    </row>
    <row r="95" spans="2:4" ht="15">
      <c r="B95" s="81">
        <v>250.9</v>
      </c>
      <c r="C95" s="14"/>
      <c r="D95" s="15"/>
    </row>
    <row r="96" spans="2:4" ht="15">
      <c r="B96" s="81">
        <v>270.89999999999998</v>
      </c>
      <c r="C96" s="14"/>
      <c r="D96" s="15"/>
    </row>
    <row r="97" spans="2:4" ht="15">
      <c r="B97" s="81">
        <v>300</v>
      </c>
      <c r="C97" s="14"/>
      <c r="D97" s="15"/>
    </row>
    <row r="98" spans="2:4" ht="15">
      <c r="B98" s="81">
        <v>300.5</v>
      </c>
      <c r="C98" s="14"/>
      <c r="D98" s="15"/>
    </row>
    <row r="99" spans="2:4" ht="15">
      <c r="B99" s="81">
        <v>300.60000000000002</v>
      </c>
      <c r="C99" s="14"/>
      <c r="D99" s="15"/>
    </row>
    <row r="100" spans="2:4" ht="15">
      <c r="B100" s="81">
        <v>309</v>
      </c>
      <c r="C100" s="14"/>
      <c r="D100" s="15"/>
    </row>
    <row r="101" spans="2:4" ht="15">
      <c r="B101" s="81">
        <v>350.8</v>
      </c>
      <c r="C101" s="14"/>
      <c r="D101" s="15"/>
    </row>
    <row r="102" spans="2:4" ht="15">
      <c r="B102" s="81">
        <v>400</v>
      </c>
      <c r="C102" s="14"/>
      <c r="D102" s="15"/>
    </row>
    <row r="103" spans="2:4" ht="15">
      <c r="B103" s="81">
        <v>500</v>
      </c>
      <c r="C103" s="14"/>
      <c r="D103" s="15"/>
    </row>
    <row r="104" spans="2:4" ht="15">
      <c r="B104" s="81">
        <v>1000.24</v>
      </c>
      <c r="C104" s="14"/>
      <c r="D104" s="15"/>
    </row>
    <row r="105" spans="2:4" ht="15">
      <c r="B105" s="81">
        <v>2000</v>
      </c>
      <c r="C105" s="14"/>
      <c r="D105" s="11"/>
    </row>
    <row r="106" spans="2:4" ht="15">
      <c r="B106" s="81">
        <v>3000.5</v>
      </c>
      <c r="C106" s="14"/>
      <c r="D106" s="11"/>
    </row>
    <row r="113" spans="2:12">
      <c r="B113" s="20"/>
    </row>
    <row r="115" spans="2:12">
      <c r="B115" s="18" t="s">
        <v>13</v>
      </c>
      <c r="C115" s="19" t="s">
        <v>619</v>
      </c>
      <c r="D115" s="19" t="s">
        <v>620</v>
      </c>
    </row>
    <row r="116" spans="2:12">
      <c r="B116" s="19">
        <v>1</v>
      </c>
      <c r="C116" s="77">
        <v>148</v>
      </c>
      <c r="D116" s="78">
        <v>0.42406876790830944</v>
      </c>
    </row>
    <row r="117" spans="2:12">
      <c r="B117" s="19">
        <v>2</v>
      </c>
      <c r="C117" s="77">
        <v>94</v>
      </c>
      <c r="D117" s="78">
        <v>0.2693409742120344</v>
      </c>
    </row>
    <row r="118" spans="2:12">
      <c r="B118" s="19">
        <v>3</v>
      </c>
      <c r="C118" s="77">
        <v>67</v>
      </c>
      <c r="D118" s="78">
        <v>0.19197707736389685</v>
      </c>
    </row>
    <row r="119" spans="2:12">
      <c r="B119" s="19">
        <v>4</v>
      </c>
      <c r="C119" s="77">
        <v>18</v>
      </c>
      <c r="D119" s="78">
        <v>5.1575931232091692E-2</v>
      </c>
    </row>
    <row r="120" spans="2:12">
      <c r="B120" s="19">
        <v>5</v>
      </c>
      <c r="C120" s="77">
        <v>22</v>
      </c>
      <c r="D120" s="78">
        <v>6.3037249283667621E-2</v>
      </c>
    </row>
    <row r="126" spans="2:12" ht="15" customHeight="1"/>
    <row r="127" spans="2:12" ht="78.75" customHeight="1">
      <c r="F127" s="112" t="s">
        <v>627</v>
      </c>
      <c r="G127" s="112"/>
      <c r="H127" s="112"/>
      <c r="I127" s="112"/>
      <c r="J127" s="112"/>
      <c r="K127" s="112"/>
      <c r="L127" s="112"/>
    </row>
    <row r="128" spans="2:12">
      <c r="F128" s="69"/>
      <c r="G128" s="69"/>
      <c r="H128" s="69"/>
      <c r="I128" s="69"/>
      <c r="J128" s="69"/>
      <c r="K128" s="69"/>
      <c r="L128" s="69"/>
    </row>
    <row r="129" spans="1:12" ht="12.75" customHeight="1">
      <c r="G129" s="69"/>
      <c r="H129" s="69"/>
      <c r="I129" s="69"/>
      <c r="J129" s="69"/>
      <c r="K129" s="69"/>
      <c r="L129" s="69"/>
    </row>
    <row r="130" spans="1:12">
      <c r="G130" s="69"/>
      <c r="H130" s="69"/>
      <c r="I130" s="69"/>
      <c r="J130" s="69"/>
      <c r="K130" s="69"/>
      <c r="L130" s="69"/>
    </row>
    <row r="131" spans="1:12">
      <c r="A131" s="100" t="s">
        <v>9</v>
      </c>
      <c r="B131" s="100" t="s">
        <v>17</v>
      </c>
      <c r="D131" s="69"/>
      <c r="E131" s="69"/>
      <c r="F131" s="69"/>
      <c r="G131" s="69"/>
    </row>
    <row r="132" spans="1:12">
      <c r="A132" s="69" t="s">
        <v>46</v>
      </c>
      <c r="B132" s="51">
        <v>3</v>
      </c>
    </row>
    <row r="133" spans="1:12">
      <c r="A133" s="69" t="s">
        <v>46</v>
      </c>
      <c r="B133" s="51">
        <v>3</v>
      </c>
    </row>
    <row r="134" spans="1:12">
      <c r="A134" s="69" t="s">
        <v>46</v>
      </c>
      <c r="B134" s="51">
        <v>3</v>
      </c>
    </row>
    <row r="135" spans="1:12">
      <c r="A135" s="69" t="s">
        <v>46</v>
      </c>
      <c r="B135" s="79">
        <v>2</v>
      </c>
    </row>
    <row r="136" spans="1:12">
      <c r="A136" s="69" t="s">
        <v>46</v>
      </c>
      <c r="B136" s="51">
        <v>1</v>
      </c>
    </row>
    <row r="137" spans="1:12">
      <c r="A137" s="69" t="s">
        <v>46</v>
      </c>
      <c r="B137" s="51">
        <v>3</v>
      </c>
    </row>
    <row r="138" spans="1:12">
      <c r="A138" s="69" t="s">
        <v>46</v>
      </c>
      <c r="B138" s="79">
        <v>2</v>
      </c>
    </row>
    <row r="139" spans="1:12">
      <c r="A139" s="69" t="s">
        <v>46</v>
      </c>
      <c r="B139" s="51">
        <v>1</v>
      </c>
    </row>
    <row r="140" spans="1:12">
      <c r="A140" s="69" t="s">
        <v>46</v>
      </c>
      <c r="B140" s="51">
        <v>2</v>
      </c>
    </row>
    <row r="141" spans="1:12">
      <c r="A141" s="69" t="s">
        <v>46</v>
      </c>
      <c r="B141" s="51">
        <v>1</v>
      </c>
    </row>
    <row r="142" spans="1:12">
      <c r="A142" s="69" t="s">
        <v>46</v>
      </c>
      <c r="B142" s="79">
        <v>5</v>
      </c>
    </row>
    <row r="143" spans="1:12">
      <c r="A143" s="69" t="s">
        <v>46</v>
      </c>
      <c r="B143" s="79">
        <v>1</v>
      </c>
    </row>
    <row r="144" spans="1:12">
      <c r="A144" s="69" t="s">
        <v>46</v>
      </c>
      <c r="B144" s="51">
        <v>3</v>
      </c>
    </row>
    <row r="145" spans="1:2">
      <c r="A145" s="69" t="s">
        <v>46</v>
      </c>
      <c r="B145" s="79">
        <v>5</v>
      </c>
    </row>
    <row r="146" spans="1:2">
      <c r="A146" s="69" t="s">
        <v>46</v>
      </c>
      <c r="B146" s="51">
        <v>2</v>
      </c>
    </row>
    <row r="147" spans="1:2">
      <c r="A147" s="69" t="s">
        <v>46</v>
      </c>
      <c r="B147" s="79">
        <v>4</v>
      </c>
    </row>
    <row r="148" spans="1:2">
      <c r="A148" s="69" t="s">
        <v>46</v>
      </c>
      <c r="B148" s="79">
        <v>2</v>
      </c>
    </row>
    <row r="149" spans="1:2">
      <c r="A149" s="69" t="s">
        <v>46</v>
      </c>
      <c r="B149" s="79">
        <v>3</v>
      </c>
    </row>
    <row r="150" spans="1:2">
      <c r="A150" s="69" t="s">
        <v>46</v>
      </c>
      <c r="B150" s="51">
        <v>1</v>
      </c>
    </row>
    <row r="151" spans="1:2">
      <c r="A151" s="69" t="s">
        <v>46</v>
      </c>
      <c r="B151" s="51">
        <v>3</v>
      </c>
    </row>
    <row r="152" spans="1:2">
      <c r="A152" s="69" t="s">
        <v>46</v>
      </c>
      <c r="B152" s="51">
        <v>3</v>
      </c>
    </row>
    <row r="153" spans="1:2">
      <c r="A153" s="69" t="s">
        <v>46</v>
      </c>
      <c r="B153" s="51">
        <v>3</v>
      </c>
    </row>
    <row r="154" spans="1:2">
      <c r="A154" s="69" t="s">
        <v>46</v>
      </c>
      <c r="B154" s="51">
        <v>2</v>
      </c>
    </row>
    <row r="155" spans="1:2">
      <c r="A155" s="69" t="s">
        <v>46</v>
      </c>
      <c r="B155" s="79">
        <v>3</v>
      </c>
    </row>
    <row r="156" spans="1:2">
      <c r="A156" s="69" t="s">
        <v>46</v>
      </c>
      <c r="B156" s="51">
        <v>3</v>
      </c>
    </row>
    <row r="157" spans="1:2">
      <c r="A157" s="69" t="s">
        <v>46</v>
      </c>
      <c r="B157" s="79">
        <v>3</v>
      </c>
    </row>
    <row r="158" spans="1:2">
      <c r="A158" s="69" t="s">
        <v>46</v>
      </c>
      <c r="B158" s="51">
        <v>3</v>
      </c>
    </row>
    <row r="159" spans="1:2">
      <c r="A159" s="69" t="s">
        <v>46</v>
      </c>
      <c r="B159" s="79">
        <v>3</v>
      </c>
    </row>
    <row r="160" spans="1:2">
      <c r="A160" s="69" t="s">
        <v>46</v>
      </c>
      <c r="B160" s="51">
        <v>4</v>
      </c>
    </row>
    <row r="161" spans="1:6">
      <c r="A161" s="69" t="s">
        <v>46</v>
      </c>
      <c r="B161" s="79">
        <v>3</v>
      </c>
    </row>
    <row r="162" spans="1:6">
      <c r="A162" s="69" t="s">
        <v>46</v>
      </c>
      <c r="B162" s="51">
        <v>1</v>
      </c>
    </row>
    <row r="163" spans="1:6">
      <c r="A163" s="69" t="s">
        <v>46</v>
      </c>
      <c r="B163" s="79">
        <v>4</v>
      </c>
    </row>
    <row r="164" spans="1:6">
      <c r="A164" s="69" t="s">
        <v>46</v>
      </c>
      <c r="B164" s="79">
        <v>1</v>
      </c>
      <c r="D164" s="7" t="s">
        <v>9</v>
      </c>
      <c r="E164" s="7" t="s">
        <v>17</v>
      </c>
      <c r="F164" s="100" t="s">
        <v>628</v>
      </c>
    </row>
    <row r="165" spans="1:6">
      <c r="A165" s="69" t="s">
        <v>46</v>
      </c>
      <c r="B165" s="51">
        <v>1</v>
      </c>
      <c r="D165" s="100" t="s">
        <v>46</v>
      </c>
      <c r="E165" s="100">
        <v>1</v>
      </c>
      <c r="F165" s="3">
        <v>15</v>
      </c>
    </row>
    <row r="166" spans="1:6">
      <c r="A166" s="69" t="s">
        <v>46</v>
      </c>
      <c r="B166" s="51">
        <v>3</v>
      </c>
      <c r="D166" s="100"/>
      <c r="E166" s="100">
        <v>2</v>
      </c>
      <c r="F166" s="3">
        <v>17</v>
      </c>
    </row>
    <row r="167" spans="1:6">
      <c r="A167" s="69" t="s">
        <v>46</v>
      </c>
      <c r="B167" s="79">
        <v>5</v>
      </c>
      <c r="D167" s="100"/>
      <c r="E167" s="100">
        <v>3</v>
      </c>
      <c r="F167" s="3">
        <v>20</v>
      </c>
    </row>
    <row r="168" spans="1:6">
      <c r="A168" s="69" t="s">
        <v>46</v>
      </c>
      <c r="B168" s="79">
        <v>5</v>
      </c>
      <c r="D168" s="100"/>
      <c r="E168" s="100">
        <v>4</v>
      </c>
      <c r="F168" s="3">
        <v>9</v>
      </c>
    </row>
    <row r="169" spans="1:6">
      <c r="A169" s="69" t="s">
        <v>46</v>
      </c>
      <c r="B169" s="51">
        <v>2</v>
      </c>
      <c r="D169" s="100"/>
      <c r="E169" s="100">
        <v>5</v>
      </c>
      <c r="F169" s="3">
        <v>12</v>
      </c>
    </row>
    <row r="170" spans="1:6">
      <c r="A170" s="69" t="s">
        <v>46</v>
      </c>
      <c r="B170" s="79">
        <v>2</v>
      </c>
      <c r="D170" s="100" t="s">
        <v>629</v>
      </c>
      <c r="E170" s="100"/>
      <c r="F170" s="3">
        <v>73</v>
      </c>
    </row>
    <row r="171" spans="1:6">
      <c r="A171" s="69" t="s">
        <v>46</v>
      </c>
      <c r="B171" s="79">
        <v>2</v>
      </c>
      <c r="D171" s="100" t="s">
        <v>35</v>
      </c>
      <c r="E171" s="100">
        <v>1</v>
      </c>
      <c r="F171" s="3">
        <v>9</v>
      </c>
    </row>
    <row r="172" spans="1:6">
      <c r="A172" s="69" t="s">
        <v>46</v>
      </c>
      <c r="B172" s="51">
        <v>3</v>
      </c>
      <c r="D172" s="100"/>
      <c r="E172" s="100">
        <v>2</v>
      </c>
      <c r="F172" s="3">
        <v>13</v>
      </c>
    </row>
    <row r="173" spans="1:6">
      <c r="A173" s="69" t="s">
        <v>46</v>
      </c>
      <c r="B173" s="51">
        <v>3</v>
      </c>
      <c r="D173" s="100"/>
      <c r="E173" s="100">
        <v>3</v>
      </c>
      <c r="F173" s="3">
        <v>7</v>
      </c>
    </row>
    <row r="174" spans="1:6">
      <c r="A174" s="69" t="s">
        <v>46</v>
      </c>
      <c r="B174" s="51">
        <v>4</v>
      </c>
      <c r="D174" s="100"/>
      <c r="E174" s="100">
        <v>4</v>
      </c>
      <c r="F174" s="3">
        <v>5</v>
      </c>
    </row>
    <row r="175" spans="1:6">
      <c r="A175" s="69" t="s">
        <v>46</v>
      </c>
      <c r="B175" s="79">
        <v>4</v>
      </c>
      <c r="D175" s="100"/>
      <c r="E175" s="100">
        <v>5</v>
      </c>
      <c r="F175" s="3">
        <v>18</v>
      </c>
    </row>
    <row r="176" spans="1:6">
      <c r="A176" s="69" t="s">
        <v>46</v>
      </c>
      <c r="B176" s="51">
        <v>2</v>
      </c>
      <c r="D176" s="100" t="s">
        <v>630</v>
      </c>
      <c r="E176" s="100"/>
      <c r="F176" s="3">
        <v>52</v>
      </c>
    </row>
    <row r="177" spans="1:6">
      <c r="A177" s="69" t="s">
        <v>46</v>
      </c>
      <c r="B177" s="79">
        <v>1</v>
      </c>
      <c r="D177" s="100" t="s">
        <v>79</v>
      </c>
      <c r="E177" s="100">
        <v>1</v>
      </c>
      <c r="F177" s="3">
        <v>5</v>
      </c>
    </row>
    <row r="178" spans="1:6">
      <c r="A178" s="69" t="s">
        <v>46</v>
      </c>
      <c r="B178" s="51">
        <v>1</v>
      </c>
      <c r="D178" s="100"/>
      <c r="E178" s="100">
        <v>2</v>
      </c>
      <c r="F178" s="3">
        <v>9</v>
      </c>
    </row>
    <row r="179" spans="1:6">
      <c r="A179" s="69" t="s">
        <v>46</v>
      </c>
      <c r="B179" s="51">
        <v>5</v>
      </c>
      <c r="D179" s="100"/>
      <c r="E179" s="100">
        <v>3</v>
      </c>
      <c r="F179" s="3">
        <v>6</v>
      </c>
    </row>
    <row r="180" spans="1:6">
      <c r="A180" s="69" t="s">
        <v>46</v>
      </c>
      <c r="B180" s="51">
        <v>2</v>
      </c>
      <c r="D180" s="100"/>
      <c r="E180" s="100">
        <v>4</v>
      </c>
      <c r="F180" s="3">
        <v>2</v>
      </c>
    </row>
    <row r="181" spans="1:6">
      <c r="A181" s="69" t="s">
        <v>46</v>
      </c>
      <c r="B181" s="79">
        <v>4</v>
      </c>
      <c r="D181" s="100"/>
      <c r="E181" s="100">
        <v>5</v>
      </c>
      <c r="F181" s="3">
        <v>8</v>
      </c>
    </row>
    <row r="182" spans="1:6">
      <c r="A182" s="69" t="s">
        <v>46</v>
      </c>
      <c r="B182" s="79">
        <v>4</v>
      </c>
      <c r="D182" s="100" t="s">
        <v>631</v>
      </c>
      <c r="E182" s="100"/>
      <c r="F182" s="3">
        <v>30</v>
      </c>
    </row>
    <row r="183" spans="1:6">
      <c r="A183" s="69" t="s">
        <v>46</v>
      </c>
      <c r="B183" s="51">
        <v>3</v>
      </c>
      <c r="D183" s="100" t="s">
        <v>89</v>
      </c>
      <c r="E183" s="100">
        <v>1</v>
      </c>
      <c r="F183" s="3">
        <v>3</v>
      </c>
    </row>
    <row r="184" spans="1:6">
      <c r="A184" s="69" t="s">
        <v>46</v>
      </c>
      <c r="B184" s="79">
        <v>2</v>
      </c>
      <c r="D184" s="100"/>
      <c r="E184" s="100">
        <v>2</v>
      </c>
      <c r="F184" s="3">
        <v>17</v>
      </c>
    </row>
    <row r="185" spans="1:6">
      <c r="A185" s="69" t="s">
        <v>46</v>
      </c>
      <c r="B185" s="79">
        <v>1</v>
      </c>
      <c r="D185" s="100"/>
      <c r="E185" s="100">
        <v>3</v>
      </c>
      <c r="F185" s="3">
        <v>6</v>
      </c>
    </row>
    <row r="186" spans="1:6">
      <c r="A186" s="69" t="s">
        <v>46</v>
      </c>
      <c r="B186" s="51">
        <v>1</v>
      </c>
      <c r="D186" s="100"/>
      <c r="E186" s="100">
        <v>4</v>
      </c>
      <c r="F186" s="3">
        <v>2</v>
      </c>
    </row>
    <row r="187" spans="1:6">
      <c r="A187" s="69" t="s">
        <v>46</v>
      </c>
      <c r="B187" s="79">
        <v>3</v>
      </c>
      <c r="D187" s="100"/>
      <c r="E187" s="100">
        <v>5</v>
      </c>
      <c r="F187" s="3">
        <v>4</v>
      </c>
    </row>
    <row r="188" spans="1:6">
      <c r="A188" s="69" t="s">
        <v>46</v>
      </c>
      <c r="B188" s="51">
        <v>5</v>
      </c>
      <c r="D188" s="100" t="s">
        <v>632</v>
      </c>
      <c r="E188" s="100"/>
      <c r="F188" s="3">
        <v>32</v>
      </c>
    </row>
    <row r="189" spans="1:6">
      <c r="A189" s="69" t="s">
        <v>46</v>
      </c>
      <c r="B189" s="79">
        <v>4</v>
      </c>
      <c r="D189" s="100" t="s">
        <v>108</v>
      </c>
      <c r="E189" s="100">
        <v>1</v>
      </c>
      <c r="F189" s="3">
        <v>6</v>
      </c>
    </row>
    <row r="190" spans="1:6">
      <c r="A190" s="69" t="s">
        <v>46</v>
      </c>
      <c r="B190" s="51">
        <v>5</v>
      </c>
      <c r="D190" s="100"/>
      <c r="E190" s="100">
        <v>2</v>
      </c>
      <c r="F190" s="3">
        <v>11</v>
      </c>
    </row>
    <row r="191" spans="1:6">
      <c r="A191" s="69" t="s">
        <v>46</v>
      </c>
      <c r="B191" s="79">
        <v>5</v>
      </c>
      <c r="D191" s="100"/>
      <c r="E191" s="100">
        <v>3</v>
      </c>
      <c r="F191" s="3">
        <v>5</v>
      </c>
    </row>
    <row r="192" spans="1:6">
      <c r="A192" s="69" t="s">
        <v>46</v>
      </c>
      <c r="B192" s="79">
        <v>1</v>
      </c>
      <c r="D192" s="100"/>
      <c r="E192" s="100">
        <v>4</v>
      </c>
      <c r="F192" s="3">
        <v>5</v>
      </c>
    </row>
    <row r="193" spans="1:6">
      <c r="A193" s="69" t="s">
        <v>46</v>
      </c>
      <c r="B193" s="79">
        <v>5</v>
      </c>
      <c r="D193" s="100"/>
      <c r="E193" s="100">
        <v>5</v>
      </c>
      <c r="F193" s="3">
        <v>4</v>
      </c>
    </row>
    <row r="194" spans="1:6">
      <c r="A194" s="69" t="s">
        <v>46</v>
      </c>
      <c r="B194" s="79">
        <v>5</v>
      </c>
      <c r="D194" s="100" t="s">
        <v>633</v>
      </c>
      <c r="E194" s="100"/>
      <c r="F194" s="3">
        <v>31</v>
      </c>
    </row>
    <row r="195" spans="1:6">
      <c r="A195" s="69" t="s">
        <v>46</v>
      </c>
      <c r="B195" s="51">
        <v>4</v>
      </c>
      <c r="D195" s="100" t="s">
        <v>64</v>
      </c>
      <c r="E195" s="100">
        <v>1</v>
      </c>
      <c r="F195" s="3">
        <v>30</v>
      </c>
    </row>
    <row r="196" spans="1:6">
      <c r="A196" s="69" t="s">
        <v>46</v>
      </c>
      <c r="B196" s="79">
        <v>2</v>
      </c>
      <c r="D196" s="100"/>
      <c r="E196" s="100">
        <v>2</v>
      </c>
      <c r="F196" s="3">
        <v>20</v>
      </c>
    </row>
    <row r="197" spans="1:6">
      <c r="A197" s="69" t="s">
        <v>46</v>
      </c>
      <c r="B197" s="51">
        <v>1</v>
      </c>
      <c r="D197" s="100"/>
      <c r="E197" s="100">
        <v>3</v>
      </c>
      <c r="F197" s="3">
        <v>24</v>
      </c>
    </row>
    <row r="198" spans="1:6">
      <c r="A198" s="69" t="s">
        <v>46</v>
      </c>
      <c r="B198" s="51">
        <v>5</v>
      </c>
      <c r="D198" s="100"/>
      <c r="E198" s="100">
        <v>4</v>
      </c>
      <c r="F198" s="3">
        <v>26</v>
      </c>
    </row>
    <row r="199" spans="1:6">
      <c r="A199" s="69" t="s">
        <v>46</v>
      </c>
      <c r="B199" s="79">
        <v>2</v>
      </c>
      <c r="D199" s="100"/>
      <c r="E199" s="100">
        <v>5</v>
      </c>
      <c r="F199" s="3">
        <v>31</v>
      </c>
    </row>
    <row r="200" spans="1:6">
      <c r="A200" s="69" t="s">
        <v>46</v>
      </c>
      <c r="B200" s="51">
        <v>2</v>
      </c>
      <c r="D200" s="100" t="s">
        <v>634</v>
      </c>
      <c r="E200" s="100"/>
      <c r="F200" s="3">
        <v>131</v>
      </c>
    </row>
    <row r="201" spans="1:6">
      <c r="A201" s="69" t="s">
        <v>46</v>
      </c>
      <c r="B201" s="79">
        <v>1</v>
      </c>
      <c r="D201" s="100" t="s">
        <v>614</v>
      </c>
      <c r="E201" s="100"/>
      <c r="F201" s="3">
        <v>349</v>
      </c>
    </row>
    <row r="202" spans="1:6">
      <c r="A202" s="69" t="s">
        <v>46</v>
      </c>
      <c r="B202" s="79">
        <v>2</v>
      </c>
    </row>
    <row r="203" spans="1:6">
      <c r="A203" s="69" t="s">
        <v>46</v>
      </c>
      <c r="B203" s="79">
        <v>2</v>
      </c>
    </row>
    <row r="204" spans="1:6">
      <c r="A204" s="69" t="s">
        <v>46</v>
      </c>
      <c r="B204" s="79">
        <v>5</v>
      </c>
    </row>
    <row r="205" spans="1:6">
      <c r="A205" s="69" t="s">
        <v>35</v>
      </c>
      <c r="B205" s="79">
        <v>5</v>
      </c>
    </row>
    <row r="206" spans="1:6">
      <c r="A206" s="69" t="s">
        <v>35</v>
      </c>
      <c r="B206" s="79">
        <v>2</v>
      </c>
    </row>
    <row r="207" spans="1:6">
      <c r="A207" s="69" t="s">
        <v>35</v>
      </c>
      <c r="B207" s="51">
        <v>3</v>
      </c>
    </row>
    <row r="208" spans="1:6">
      <c r="A208" s="69" t="s">
        <v>35</v>
      </c>
      <c r="B208" s="79">
        <v>1</v>
      </c>
    </row>
    <row r="209" spans="1:2">
      <c r="A209" s="69" t="s">
        <v>35</v>
      </c>
      <c r="B209" s="79">
        <v>2</v>
      </c>
    </row>
    <row r="210" spans="1:2">
      <c r="A210" s="69" t="s">
        <v>35</v>
      </c>
      <c r="B210" s="79">
        <v>1</v>
      </c>
    </row>
    <row r="211" spans="1:2">
      <c r="A211" s="69" t="s">
        <v>35</v>
      </c>
      <c r="B211" s="79">
        <v>5</v>
      </c>
    </row>
    <row r="212" spans="1:2">
      <c r="A212" s="69" t="s">
        <v>35</v>
      </c>
      <c r="B212" s="51">
        <v>2</v>
      </c>
    </row>
    <row r="213" spans="1:2">
      <c r="A213" s="69" t="s">
        <v>35</v>
      </c>
      <c r="B213" s="51">
        <v>2</v>
      </c>
    </row>
    <row r="214" spans="1:2">
      <c r="A214" s="69" t="s">
        <v>35</v>
      </c>
      <c r="B214" s="79">
        <v>5</v>
      </c>
    </row>
    <row r="215" spans="1:2">
      <c r="A215" s="69" t="s">
        <v>35</v>
      </c>
      <c r="B215" s="51">
        <v>1</v>
      </c>
    </row>
    <row r="216" spans="1:2">
      <c r="A216" s="69" t="s">
        <v>35</v>
      </c>
      <c r="B216" s="79">
        <v>2</v>
      </c>
    </row>
    <row r="217" spans="1:2">
      <c r="A217" s="69" t="s">
        <v>35</v>
      </c>
      <c r="B217" s="51">
        <v>2</v>
      </c>
    </row>
    <row r="218" spans="1:2">
      <c r="A218" s="69" t="s">
        <v>35</v>
      </c>
      <c r="B218" s="79">
        <v>2</v>
      </c>
    </row>
    <row r="219" spans="1:2">
      <c r="A219" s="69" t="s">
        <v>35</v>
      </c>
      <c r="B219" s="79">
        <v>2</v>
      </c>
    </row>
    <row r="220" spans="1:2">
      <c r="A220" s="69" t="s">
        <v>35</v>
      </c>
      <c r="B220" s="51">
        <v>2</v>
      </c>
    </row>
    <row r="221" spans="1:2">
      <c r="A221" s="69" t="s">
        <v>35</v>
      </c>
      <c r="B221" s="51">
        <v>3</v>
      </c>
    </row>
    <row r="222" spans="1:2">
      <c r="A222" s="69" t="s">
        <v>35</v>
      </c>
      <c r="B222" s="79">
        <v>2</v>
      </c>
    </row>
    <row r="223" spans="1:2">
      <c r="A223" s="69" t="s">
        <v>35</v>
      </c>
      <c r="B223" s="51">
        <v>2</v>
      </c>
    </row>
    <row r="224" spans="1:2">
      <c r="A224" s="69" t="s">
        <v>35</v>
      </c>
      <c r="B224" s="79">
        <v>1</v>
      </c>
    </row>
    <row r="225" spans="1:2">
      <c r="A225" s="69" t="s">
        <v>35</v>
      </c>
      <c r="B225" s="79">
        <v>5</v>
      </c>
    </row>
    <row r="226" spans="1:2">
      <c r="A226" s="69" t="s">
        <v>35</v>
      </c>
      <c r="B226" s="51">
        <v>5</v>
      </c>
    </row>
    <row r="227" spans="1:2">
      <c r="A227" s="69" t="s">
        <v>35</v>
      </c>
      <c r="B227" s="51">
        <v>4</v>
      </c>
    </row>
    <row r="228" spans="1:2">
      <c r="A228" s="69" t="s">
        <v>35</v>
      </c>
      <c r="B228" s="79">
        <v>4</v>
      </c>
    </row>
    <row r="229" spans="1:2">
      <c r="A229" s="69" t="s">
        <v>35</v>
      </c>
      <c r="B229" s="51">
        <v>5</v>
      </c>
    </row>
    <row r="230" spans="1:2">
      <c r="A230" s="69" t="s">
        <v>35</v>
      </c>
      <c r="B230" s="51">
        <v>4</v>
      </c>
    </row>
    <row r="231" spans="1:2">
      <c r="A231" s="69" t="s">
        <v>35</v>
      </c>
      <c r="B231" s="51">
        <v>3</v>
      </c>
    </row>
    <row r="232" spans="1:2">
      <c r="A232" s="69" t="s">
        <v>35</v>
      </c>
      <c r="B232" s="79">
        <v>3</v>
      </c>
    </row>
    <row r="233" spans="1:2">
      <c r="A233" s="69" t="s">
        <v>35</v>
      </c>
      <c r="B233" s="51">
        <v>1</v>
      </c>
    </row>
    <row r="234" spans="1:2">
      <c r="A234" s="69" t="s">
        <v>35</v>
      </c>
      <c r="B234" s="79">
        <v>5</v>
      </c>
    </row>
    <row r="235" spans="1:2">
      <c r="A235" s="69" t="s">
        <v>35</v>
      </c>
      <c r="B235" s="79">
        <v>5</v>
      </c>
    </row>
    <row r="236" spans="1:2">
      <c r="A236" s="69" t="s">
        <v>35</v>
      </c>
      <c r="B236" s="79">
        <v>4</v>
      </c>
    </row>
    <row r="237" spans="1:2">
      <c r="A237" s="69" t="s">
        <v>35</v>
      </c>
      <c r="B237" s="51">
        <v>5</v>
      </c>
    </row>
    <row r="238" spans="1:2">
      <c r="A238" s="69" t="s">
        <v>35</v>
      </c>
      <c r="B238" s="51">
        <v>5</v>
      </c>
    </row>
    <row r="239" spans="1:2">
      <c r="A239" s="69" t="s">
        <v>35</v>
      </c>
      <c r="B239" s="79">
        <v>1</v>
      </c>
    </row>
    <row r="240" spans="1:2">
      <c r="A240" s="69" t="s">
        <v>35</v>
      </c>
      <c r="B240" s="79">
        <v>2</v>
      </c>
    </row>
    <row r="241" spans="1:2">
      <c r="A241" s="69" t="s">
        <v>35</v>
      </c>
      <c r="B241" s="79">
        <v>1</v>
      </c>
    </row>
    <row r="242" spans="1:2">
      <c r="A242" s="69" t="s">
        <v>35</v>
      </c>
      <c r="B242" s="79">
        <v>5</v>
      </c>
    </row>
    <row r="243" spans="1:2">
      <c r="A243" s="69" t="s">
        <v>35</v>
      </c>
      <c r="B243" s="51">
        <v>5</v>
      </c>
    </row>
    <row r="244" spans="1:2">
      <c r="A244" s="69" t="s">
        <v>35</v>
      </c>
      <c r="B244" s="79">
        <v>5</v>
      </c>
    </row>
    <row r="245" spans="1:2">
      <c r="A245" s="69" t="s">
        <v>35</v>
      </c>
      <c r="B245" s="51">
        <v>5</v>
      </c>
    </row>
    <row r="246" spans="1:2">
      <c r="A246" s="69" t="s">
        <v>35</v>
      </c>
      <c r="B246" s="51">
        <v>5</v>
      </c>
    </row>
    <row r="247" spans="1:2">
      <c r="A247" s="69" t="s">
        <v>35</v>
      </c>
      <c r="B247" s="79">
        <v>2</v>
      </c>
    </row>
    <row r="248" spans="1:2">
      <c r="A248" s="69" t="s">
        <v>35</v>
      </c>
      <c r="B248" s="79">
        <v>3</v>
      </c>
    </row>
    <row r="249" spans="1:2">
      <c r="A249" s="69" t="s">
        <v>35</v>
      </c>
      <c r="B249" s="51">
        <v>3</v>
      </c>
    </row>
    <row r="250" spans="1:2">
      <c r="A250" s="69" t="s">
        <v>35</v>
      </c>
      <c r="B250" s="79">
        <v>1</v>
      </c>
    </row>
    <row r="251" spans="1:2">
      <c r="A251" s="69" t="s">
        <v>35</v>
      </c>
      <c r="B251" s="79">
        <v>5</v>
      </c>
    </row>
    <row r="252" spans="1:2">
      <c r="A252" s="69" t="s">
        <v>35</v>
      </c>
      <c r="B252" s="51">
        <v>5</v>
      </c>
    </row>
    <row r="253" spans="1:2">
      <c r="A253" s="69" t="s">
        <v>35</v>
      </c>
      <c r="B253" s="79">
        <v>5</v>
      </c>
    </row>
    <row r="254" spans="1:2">
      <c r="A254" s="69" t="s">
        <v>35</v>
      </c>
      <c r="B254" s="51">
        <v>4</v>
      </c>
    </row>
    <row r="255" spans="1:2">
      <c r="A255" s="69" t="s">
        <v>35</v>
      </c>
      <c r="B255" s="51">
        <v>3</v>
      </c>
    </row>
    <row r="256" spans="1:2">
      <c r="A256" s="69" t="s">
        <v>35</v>
      </c>
      <c r="B256" s="51">
        <v>1</v>
      </c>
    </row>
    <row r="257" spans="1:2">
      <c r="A257" s="69" t="s">
        <v>79</v>
      </c>
      <c r="B257" s="51">
        <v>2</v>
      </c>
    </row>
    <row r="258" spans="1:2">
      <c r="A258" s="69" t="s">
        <v>79</v>
      </c>
      <c r="B258" s="79">
        <v>3</v>
      </c>
    </row>
    <row r="259" spans="1:2">
      <c r="A259" s="69" t="s">
        <v>79</v>
      </c>
      <c r="B259" s="79">
        <v>5</v>
      </c>
    </row>
    <row r="260" spans="1:2">
      <c r="A260" s="69" t="s">
        <v>79</v>
      </c>
      <c r="B260" s="51">
        <v>2</v>
      </c>
    </row>
    <row r="261" spans="1:2">
      <c r="A261" s="69" t="s">
        <v>79</v>
      </c>
      <c r="B261" s="51">
        <v>1</v>
      </c>
    </row>
    <row r="262" spans="1:2">
      <c r="A262" s="69" t="s">
        <v>79</v>
      </c>
      <c r="B262" s="51">
        <v>3</v>
      </c>
    </row>
    <row r="263" spans="1:2">
      <c r="A263" s="69" t="s">
        <v>79</v>
      </c>
      <c r="B263" s="79">
        <v>1</v>
      </c>
    </row>
    <row r="264" spans="1:2">
      <c r="A264" s="69" t="s">
        <v>79</v>
      </c>
      <c r="B264" s="51">
        <v>2</v>
      </c>
    </row>
    <row r="265" spans="1:2">
      <c r="A265" s="69" t="s">
        <v>79</v>
      </c>
      <c r="B265" s="79">
        <v>3</v>
      </c>
    </row>
    <row r="266" spans="1:2">
      <c r="A266" s="69" t="s">
        <v>79</v>
      </c>
      <c r="B266" s="51">
        <v>5</v>
      </c>
    </row>
    <row r="267" spans="1:2">
      <c r="A267" s="69" t="s">
        <v>79</v>
      </c>
      <c r="B267" s="79">
        <v>2</v>
      </c>
    </row>
    <row r="268" spans="1:2">
      <c r="A268" s="69" t="s">
        <v>79</v>
      </c>
      <c r="B268" s="51">
        <v>2</v>
      </c>
    </row>
    <row r="269" spans="1:2">
      <c r="A269" s="69" t="s">
        <v>79</v>
      </c>
      <c r="B269" s="51">
        <v>1</v>
      </c>
    </row>
    <row r="270" spans="1:2">
      <c r="A270" s="69" t="s">
        <v>79</v>
      </c>
      <c r="B270" s="51">
        <v>3</v>
      </c>
    </row>
    <row r="271" spans="1:2">
      <c r="A271" s="69" t="s">
        <v>79</v>
      </c>
      <c r="B271" s="51">
        <v>2</v>
      </c>
    </row>
    <row r="272" spans="1:2">
      <c r="A272" s="69" t="s">
        <v>79</v>
      </c>
      <c r="B272" s="51">
        <v>3</v>
      </c>
    </row>
    <row r="273" spans="1:2">
      <c r="A273" s="69" t="s">
        <v>79</v>
      </c>
      <c r="B273" s="79">
        <v>2</v>
      </c>
    </row>
    <row r="274" spans="1:2">
      <c r="A274" s="69" t="s">
        <v>79</v>
      </c>
      <c r="B274" s="51">
        <v>4</v>
      </c>
    </row>
    <row r="275" spans="1:2">
      <c r="A275" s="69" t="s">
        <v>79</v>
      </c>
      <c r="B275" s="79">
        <v>5</v>
      </c>
    </row>
    <row r="276" spans="1:2">
      <c r="A276" s="69" t="s">
        <v>79</v>
      </c>
      <c r="B276" s="79">
        <v>4</v>
      </c>
    </row>
    <row r="277" spans="1:2">
      <c r="A277" s="69" t="s">
        <v>79</v>
      </c>
      <c r="B277" s="79">
        <v>1</v>
      </c>
    </row>
    <row r="278" spans="1:2">
      <c r="A278" s="69" t="s">
        <v>79</v>
      </c>
      <c r="B278" s="51">
        <v>1</v>
      </c>
    </row>
    <row r="279" spans="1:2">
      <c r="A279" s="69" t="s">
        <v>79</v>
      </c>
      <c r="B279" s="51">
        <v>5</v>
      </c>
    </row>
    <row r="280" spans="1:2">
      <c r="A280" s="69" t="s">
        <v>79</v>
      </c>
      <c r="B280" s="51">
        <v>5</v>
      </c>
    </row>
    <row r="281" spans="1:2">
      <c r="A281" s="69" t="s">
        <v>79</v>
      </c>
      <c r="B281" s="79">
        <v>2</v>
      </c>
    </row>
    <row r="282" spans="1:2">
      <c r="A282" s="69" t="s">
        <v>79</v>
      </c>
      <c r="B282" s="79">
        <v>5</v>
      </c>
    </row>
    <row r="283" spans="1:2">
      <c r="A283" s="69" t="s">
        <v>79</v>
      </c>
      <c r="B283" s="51">
        <v>2</v>
      </c>
    </row>
    <row r="284" spans="1:2">
      <c r="A284" s="69" t="s">
        <v>79</v>
      </c>
      <c r="B284" s="79">
        <v>5</v>
      </c>
    </row>
    <row r="285" spans="1:2">
      <c r="A285" s="69" t="s">
        <v>79</v>
      </c>
      <c r="B285" s="51">
        <v>3</v>
      </c>
    </row>
    <row r="286" spans="1:2">
      <c r="A286" s="69" t="s">
        <v>79</v>
      </c>
      <c r="B286" s="51">
        <v>5</v>
      </c>
    </row>
    <row r="287" spans="1:2" ht="23.25">
      <c r="A287" s="69" t="s">
        <v>89</v>
      </c>
      <c r="B287" s="51">
        <v>5</v>
      </c>
    </row>
    <row r="288" spans="1:2" ht="23.25">
      <c r="A288" s="69" t="s">
        <v>89</v>
      </c>
      <c r="B288" s="51">
        <v>2</v>
      </c>
    </row>
    <row r="289" spans="1:2" ht="23.25">
      <c r="A289" s="69" t="s">
        <v>89</v>
      </c>
      <c r="B289" s="51">
        <v>2</v>
      </c>
    </row>
    <row r="290" spans="1:2" ht="23.25">
      <c r="A290" s="69" t="s">
        <v>89</v>
      </c>
      <c r="B290" s="79">
        <v>3</v>
      </c>
    </row>
    <row r="291" spans="1:2" ht="23.25">
      <c r="A291" s="69" t="s">
        <v>89</v>
      </c>
      <c r="B291" s="79">
        <v>2</v>
      </c>
    </row>
    <row r="292" spans="1:2" ht="23.25">
      <c r="A292" s="69" t="s">
        <v>89</v>
      </c>
      <c r="B292" s="79">
        <v>1</v>
      </c>
    </row>
    <row r="293" spans="1:2" ht="23.25">
      <c r="A293" s="69" t="s">
        <v>89</v>
      </c>
      <c r="B293" s="51">
        <v>4</v>
      </c>
    </row>
    <row r="294" spans="1:2" ht="23.25">
      <c r="A294" s="69" t="s">
        <v>89</v>
      </c>
      <c r="B294" s="79">
        <v>4</v>
      </c>
    </row>
    <row r="295" spans="1:2" ht="23.25">
      <c r="A295" s="69" t="s">
        <v>89</v>
      </c>
      <c r="B295" s="51">
        <v>3</v>
      </c>
    </row>
    <row r="296" spans="1:2" ht="23.25">
      <c r="A296" s="69" t="s">
        <v>89</v>
      </c>
      <c r="B296" s="51">
        <v>2</v>
      </c>
    </row>
    <row r="297" spans="1:2" ht="23.25">
      <c r="A297" s="69" t="s">
        <v>89</v>
      </c>
      <c r="B297" s="79">
        <v>2</v>
      </c>
    </row>
    <row r="298" spans="1:2" ht="23.25">
      <c r="A298" s="69" t="s">
        <v>89</v>
      </c>
      <c r="B298" s="51">
        <v>2</v>
      </c>
    </row>
    <row r="299" spans="1:2" ht="23.25">
      <c r="A299" s="69" t="s">
        <v>89</v>
      </c>
      <c r="B299" s="79">
        <v>2</v>
      </c>
    </row>
    <row r="300" spans="1:2" ht="23.25">
      <c r="A300" s="69" t="s">
        <v>89</v>
      </c>
      <c r="B300" s="51">
        <v>2</v>
      </c>
    </row>
    <row r="301" spans="1:2" ht="23.25">
      <c r="A301" s="69" t="s">
        <v>89</v>
      </c>
      <c r="B301" s="79">
        <v>2</v>
      </c>
    </row>
    <row r="302" spans="1:2" ht="23.25">
      <c r="A302" s="69" t="s">
        <v>89</v>
      </c>
      <c r="B302" s="51">
        <v>2</v>
      </c>
    </row>
    <row r="303" spans="1:2" ht="23.25">
      <c r="A303" s="69" t="s">
        <v>89</v>
      </c>
      <c r="B303" s="79">
        <v>2</v>
      </c>
    </row>
    <row r="304" spans="1:2" ht="23.25">
      <c r="A304" s="69" t="s">
        <v>89</v>
      </c>
      <c r="B304" s="51">
        <v>5</v>
      </c>
    </row>
    <row r="305" spans="1:2" ht="23.25">
      <c r="A305" s="69" t="s">
        <v>89</v>
      </c>
      <c r="B305" s="79">
        <v>2</v>
      </c>
    </row>
    <row r="306" spans="1:2" ht="23.25">
      <c r="A306" s="69" t="s">
        <v>89</v>
      </c>
      <c r="B306" s="79">
        <v>2</v>
      </c>
    </row>
    <row r="307" spans="1:2" ht="23.25">
      <c r="A307" s="69" t="s">
        <v>89</v>
      </c>
      <c r="B307" s="79">
        <v>1</v>
      </c>
    </row>
    <row r="308" spans="1:2" ht="23.25">
      <c r="A308" s="69" t="s">
        <v>89</v>
      </c>
      <c r="B308" s="51">
        <v>3</v>
      </c>
    </row>
    <row r="309" spans="1:2" ht="23.25">
      <c r="A309" s="69" t="s">
        <v>89</v>
      </c>
      <c r="B309" s="79">
        <v>2</v>
      </c>
    </row>
    <row r="310" spans="1:2" ht="23.25">
      <c r="A310" s="69" t="s">
        <v>89</v>
      </c>
      <c r="B310" s="79">
        <v>2</v>
      </c>
    </row>
    <row r="311" spans="1:2" ht="23.25">
      <c r="A311" s="69" t="s">
        <v>89</v>
      </c>
      <c r="B311" s="79">
        <v>3</v>
      </c>
    </row>
    <row r="312" spans="1:2" ht="23.25">
      <c r="A312" s="69" t="s">
        <v>89</v>
      </c>
      <c r="B312" s="79">
        <v>5</v>
      </c>
    </row>
    <row r="313" spans="1:2" ht="23.25">
      <c r="A313" s="69" t="s">
        <v>89</v>
      </c>
      <c r="B313" s="79">
        <v>2</v>
      </c>
    </row>
    <row r="314" spans="1:2" ht="23.25">
      <c r="A314" s="69" t="s">
        <v>89</v>
      </c>
      <c r="B314" s="79">
        <v>2</v>
      </c>
    </row>
    <row r="315" spans="1:2" ht="23.25">
      <c r="A315" s="69" t="s">
        <v>89</v>
      </c>
      <c r="B315" s="79">
        <v>3</v>
      </c>
    </row>
    <row r="316" spans="1:2" ht="23.25">
      <c r="A316" s="69" t="s">
        <v>89</v>
      </c>
      <c r="B316" s="79">
        <v>1</v>
      </c>
    </row>
    <row r="317" spans="1:2" ht="23.25">
      <c r="A317" s="69" t="s">
        <v>89</v>
      </c>
      <c r="B317" s="79">
        <v>3</v>
      </c>
    </row>
    <row r="318" spans="1:2" ht="23.25">
      <c r="A318" s="69" t="s">
        <v>89</v>
      </c>
      <c r="B318" s="51">
        <v>5</v>
      </c>
    </row>
    <row r="319" spans="1:2">
      <c r="A319" s="69" t="s">
        <v>108</v>
      </c>
      <c r="B319" s="79">
        <v>5</v>
      </c>
    </row>
    <row r="320" spans="1:2">
      <c r="A320" s="69" t="s">
        <v>108</v>
      </c>
      <c r="B320" s="51">
        <v>2</v>
      </c>
    </row>
    <row r="321" spans="1:2">
      <c r="A321" s="69" t="s">
        <v>108</v>
      </c>
      <c r="B321" s="79">
        <v>2</v>
      </c>
    </row>
    <row r="322" spans="1:2">
      <c r="A322" s="69" t="s">
        <v>108</v>
      </c>
      <c r="B322" s="51">
        <v>1</v>
      </c>
    </row>
    <row r="323" spans="1:2">
      <c r="A323" s="69" t="s">
        <v>108</v>
      </c>
      <c r="B323" s="51">
        <v>4</v>
      </c>
    </row>
    <row r="324" spans="1:2">
      <c r="A324" s="69" t="s">
        <v>108</v>
      </c>
      <c r="B324" s="79">
        <v>2</v>
      </c>
    </row>
    <row r="325" spans="1:2">
      <c r="A325" s="69" t="s">
        <v>108</v>
      </c>
      <c r="B325" s="79">
        <v>1</v>
      </c>
    </row>
    <row r="326" spans="1:2">
      <c r="A326" s="69" t="s">
        <v>108</v>
      </c>
      <c r="B326" s="51">
        <v>5</v>
      </c>
    </row>
    <row r="327" spans="1:2">
      <c r="A327" s="69" t="s">
        <v>108</v>
      </c>
      <c r="B327" s="79">
        <v>4</v>
      </c>
    </row>
    <row r="328" spans="1:2">
      <c r="A328" s="69" t="s">
        <v>108</v>
      </c>
      <c r="B328" s="51">
        <v>2</v>
      </c>
    </row>
    <row r="329" spans="1:2">
      <c r="A329" s="69" t="s">
        <v>108</v>
      </c>
      <c r="B329" s="51">
        <v>5</v>
      </c>
    </row>
    <row r="330" spans="1:2">
      <c r="A330" s="69" t="s">
        <v>108</v>
      </c>
      <c r="B330" s="51">
        <v>2</v>
      </c>
    </row>
    <row r="331" spans="1:2">
      <c r="A331" s="69" t="s">
        <v>108</v>
      </c>
      <c r="B331" s="79">
        <v>2</v>
      </c>
    </row>
    <row r="332" spans="1:2">
      <c r="A332" s="69" t="s">
        <v>108</v>
      </c>
      <c r="B332" s="51">
        <v>1</v>
      </c>
    </row>
    <row r="333" spans="1:2">
      <c r="A333" s="69" t="s">
        <v>108</v>
      </c>
      <c r="B333" s="51">
        <v>4</v>
      </c>
    </row>
    <row r="334" spans="1:2">
      <c r="A334" s="69" t="s">
        <v>108</v>
      </c>
      <c r="B334" s="51">
        <v>3</v>
      </c>
    </row>
    <row r="335" spans="1:2">
      <c r="A335" s="69" t="s">
        <v>108</v>
      </c>
      <c r="B335" s="51">
        <v>5</v>
      </c>
    </row>
    <row r="336" spans="1:2">
      <c r="A336" s="69" t="s">
        <v>108</v>
      </c>
      <c r="B336" s="79">
        <v>3</v>
      </c>
    </row>
    <row r="337" spans="1:2">
      <c r="A337" s="69" t="s">
        <v>108</v>
      </c>
      <c r="B337" s="51">
        <v>2</v>
      </c>
    </row>
    <row r="338" spans="1:2">
      <c r="A338" s="69" t="s">
        <v>108</v>
      </c>
      <c r="B338" s="79">
        <v>2</v>
      </c>
    </row>
    <row r="339" spans="1:2">
      <c r="A339" s="69" t="s">
        <v>108</v>
      </c>
      <c r="B339" s="51">
        <v>4</v>
      </c>
    </row>
    <row r="340" spans="1:2">
      <c r="A340" s="69" t="s">
        <v>108</v>
      </c>
      <c r="B340" s="79">
        <v>1</v>
      </c>
    </row>
    <row r="341" spans="1:2">
      <c r="A341" s="69" t="s">
        <v>108</v>
      </c>
      <c r="B341" s="51">
        <v>1</v>
      </c>
    </row>
    <row r="342" spans="1:2">
      <c r="A342" s="69" t="s">
        <v>108</v>
      </c>
      <c r="B342" s="51">
        <v>3</v>
      </c>
    </row>
    <row r="343" spans="1:2">
      <c r="A343" s="69" t="s">
        <v>108</v>
      </c>
      <c r="B343" s="51">
        <v>4</v>
      </c>
    </row>
    <row r="344" spans="1:2">
      <c r="A344" s="69" t="s">
        <v>108</v>
      </c>
      <c r="B344" s="51">
        <v>2</v>
      </c>
    </row>
    <row r="345" spans="1:2">
      <c r="A345" s="69" t="s">
        <v>108</v>
      </c>
      <c r="B345" s="51">
        <v>2</v>
      </c>
    </row>
    <row r="346" spans="1:2">
      <c r="A346" s="69" t="s">
        <v>108</v>
      </c>
      <c r="B346" s="79">
        <v>2</v>
      </c>
    </row>
    <row r="347" spans="1:2">
      <c r="A347" s="69" t="s">
        <v>108</v>
      </c>
      <c r="B347" s="51">
        <v>1</v>
      </c>
    </row>
    <row r="348" spans="1:2">
      <c r="A348" s="69" t="s">
        <v>108</v>
      </c>
      <c r="B348" s="79">
        <v>3</v>
      </c>
    </row>
    <row r="349" spans="1:2">
      <c r="A349" s="69" t="s">
        <v>108</v>
      </c>
      <c r="B349" s="51">
        <v>3</v>
      </c>
    </row>
    <row r="350" spans="1:2">
      <c r="A350" s="69" t="s">
        <v>64</v>
      </c>
      <c r="B350" s="79">
        <v>2</v>
      </c>
    </row>
    <row r="351" spans="1:2">
      <c r="A351" s="69" t="s">
        <v>64</v>
      </c>
      <c r="B351" s="79">
        <v>1</v>
      </c>
    </row>
    <row r="352" spans="1:2">
      <c r="A352" s="69" t="s">
        <v>64</v>
      </c>
      <c r="B352" s="51">
        <v>4</v>
      </c>
    </row>
    <row r="353" spans="1:2">
      <c r="A353" s="69" t="s">
        <v>64</v>
      </c>
      <c r="B353" s="79">
        <v>5</v>
      </c>
    </row>
    <row r="354" spans="1:2">
      <c r="A354" s="69" t="s">
        <v>64</v>
      </c>
      <c r="B354" s="51">
        <v>4</v>
      </c>
    </row>
    <row r="355" spans="1:2">
      <c r="A355" s="69" t="s">
        <v>64</v>
      </c>
      <c r="B355" s="79">
        <v>3</v>
      </c>
    </row>
    <row r="356" spans="1:2">
      <c r="A356" s="69" t="s">
        <v>64</v>
      </c>
      <c r="B356" s="79">
        <v>3</v>
      </c>
    </row>
    <row r="357" spans="1:2">
      <c r="A357" s="69" t="s">
        <v>64</v>
      </c>
      <c r="B357" s="79">
        <v>2</v>
      </c>
    </row>
    <row r="358" spans="1:2">
      <c r="A358" s="69" t="s">
        <v>64</v>
      </c>
      <c r="B358" s="51">
        <v>4</v>
      </c>
    </row>
    <row r="359" spans="1:2">
      <c r="A359" s="69" t="s">
        <v>64</v>
      </c>
      <c r="B359" s="79">
        <v>2</v>
      </c>
    </row>
    <row r="360" spans="1:2">
      <c r="A360" s="69" t="s">
        <v>64</v>
      </c>
      <c r="B360" s="51">
        <v>3</v>
      </c>
    </row>
    <row r="361" spans="1:2">
      <c r="A361" s="69" t="s">
        <v>64</v>
      </c>
      <c r="B361" s="51">
        <v>1</v>
      </c>
    </row>
    <row r="362" spans="1:2">
      <c r="A362" s="69" t="s">
        <v>64</v>
      </c>
      <c r="B362" s="79">
        <v>1</v>
      </c>
    </row>
    <row r="363" spans="1:2">
      <c r="A363" s="69" t="s">
        <v>64</v>
      </c>
      <c r="B363" s="51">
        <v>1</v>
      </c>
    </row>
    <row r="364" spans="1:2">
      <c r="A364" s="69" t="s">
        <v>64</v>
      </c>
      <c r="B364" s="79">
        <v>1</v>
      </c>
    </row>
    <row r="365" spans="1:2">
      <c r="A365" s="69" t="s">
        <v>64</v>
      </c>
      <c r="B365" s="79">
        <v>4</v>
      </c>
    </row>
    <row r="366" spans="1:2">
      <c r="A366" s="69" t="s">
        <v>64</v>
      </c>
      <c r="B366" s="51">
        <v>3</v>
      </c>
    </row>
    <row r="367" spans="1:2">
      <c r="A367" s="69" t="s">
        <v>64</v>
      </c>
      <c r="B367" s="79">
        <v>5</v>
      </c>
    </row>
    <row r="368" spans="1:2">
      <c r="A368" s="69" t="s">
        <v>64</v>
      </c>
      <c r="B368" s="51">
        <v>4</v>
      </c>
    </row>
    <row r="369" spans="1:2">
      <c r="A369" s="69" t="s">
        <v>64</v>
      </c>
      <c r="B369" s="79">
        <v>3</v>
      </c>
    </row>
    <row r="370" spans="1:2">
      <c r="A370" s="69" t="s">
        <v>64</v>
      </c>
      <c r="B370" s="51">
        <v>3</v>
      </c>
    </row>
    <row r="371" spans="1:2">
      <c r="A371" s="69" t="s">
        <v>64</v>
      </c>
      <c r="B371" s="79">
        <v>3</v>
      </c>
    </row>
    <row r="372" spans="1:2">
      <c r="A372" s="69" t="s">
        <v>64</v>
      </c>
      <c r="B372" s="79">
        <v>3</v>
      </c>
    </row>
    <row r="373" spans="1:2">
      <c r="A373" s="69" t="s">
        <v>64</v>
      </c>
      <c r="B373" s="51">
        <v>3</v>
      </c>
    </row>
    <row r="374" spans="1:2">
      <c r="A374" s="69" t="s">
        <v>64</v>
      </c>
      <c r="B374" s="51">
        <v>4</v>
      </c>
    </row>
    <row r="375" spans="1:2">
      <c r="A375" s="69" t="s">
        <v>64</v>
      </c>
      <c r="B375" s="79">
        <v>5</v>
      </c>
    </row>
    <row r="376" spans="1:2">
      <c r="A376" s="69" t="s">
        <v>64</v>
      </c>
      <c r="B376" s="51">
        <v>3</v>
      </c>
    </row>
    <row r="377" spans="1:2">
      <c r="A377" s="69" t="s">
        <v>64</v>
      </c>
      <c r="B377" s="51">
        <v>1</v>
      </c>
    </row>
    <row r="378" spans="1:2">
      <c r="A378" s="69" t="s">
        <v>64</v>
      </c>
      <c r="B378" s="79">
        <v>1</v>
      </c>
    </row>
    <row r="379" spans="1:2">
      <c r="A379" s="69" t="s">
        <v>64</v>
      </c>
      <c r="B379" s="51">
        <v>1</v>
      </c>
    </row>
    <row r="380" spans="1:2">
      <c r="A380" s="69" t="s">
        <v>64</v>
      </c>
      <c r="B380" s="79">
        <v>5</v>
      </c>
    </row>
    <row r="381" spans="1:2">
      <c r="A381" s="69" t="s">
        <v>64</v>
      </c>
      <c r="B381" s="51">
        <v>5</v>
      </c>
    </row>
    <row r="382" spans="1:2">
      <c r="A382" s="69" t="s">
        <v>64</v>
      </c>
      <c r="B382" s="79">
        <v>5</v>
      </c>
    </row>
    <row r="383" spans="1:2">
      <c r="A383" s="69" t="s">
        <v>64</v>
      </c>
      <c r="B383" s="79">
        <v>1</v>
      </c>
    </row>
    <row r="384" spans="1:2">
      <c r="A384" s="69" t="s">
        <v>64</v>
      </c>
      <c r="B384" s="51">
        <v>2</v>
      </c>
    </row>
    <row r="385" spans="1:2">
      <c r="A385" s="69" t="s">
        <v>64</v>
      </c>
      <c r="B385" s="79">
        <v>5</v>
      </c>
    </row>
    <row r="386" spans="1:2">
      <c r="A386" s="69" t="s">
        <v>64</v>
      </c>
      <c r="B386" s="51">
        <v>1</v>
      </c>
    </row>
    <row r="387" spans="1:2">
      <c r="A387" s="69" t="s">
        <v>64</v>
      </c>
      <c r="B387" s="79">
        <v>1</v>
      </c>
    </row>
    <row r="388" spans="1:2">
      <c r="A388" s="69" t="s">
        <v>64</v>
      </c>
      <c r="B388" s="51">
        <v>2</v>
      </c>
    </row>
    <row r="389" spans="1:2">
      <c r="A389" s="69" t="s">
        <v>64</v>
      </c>
      <c r="B389" s="79">
        <v>4</v>
      </c>
    </row>
    <row r="390" spans="1:2">
      <c r="A390" s="69" t="s">
        <v>64</v>
      </c>
      <c r="B390" s="79">
        <v>5</v>
      </c>
    </row>
    <row r="391" spans="1:2">
      <c r="A391" s="69" t="s">
        <v>64</v>
      </c>
      <c r="B391" s="51">
        <v>3</v>
      </c>
    </row>
    <row r="392" spans="1:2">
      <c r="A392" s="69" t="s">
        <v>64</v>
      </c>
      <c r="B392" s="79">
        <v>5</v>
      </c>
    </row>
    <row r="393" spans="1:2">
      <c r="A393" s="69" t="s">
        <v>64</v>
      </c>
      <c r="B393" s="79">
        <v>1</v>
      </c>
    </row>
    <row r="394" spans="1:2">
      <c r="A394" s="69" t="s">
        <v>64</v>
      </c>
      <c r="B394" s="79">
        <v>4</v>
      </c>
    </row>
    <row r="395" spans="1:2">
      <c r="A395" s="69" t="s">
        <v>64</v>
      </c>
      <c r="B395" s="79">
        <v>5</v>
      </c>
    </row>
    <row r="396" spans="1:2">
      <c r="A396" s="69" t="s">
        <v>64</v>
      </c>
      <c r="B396" s="51">
        <v>1</v>
      </c>
    </row>
    <row r="397" spans="1:2">
      <c r="A397" s="69" t="s">
        <v>64</v>
      </c>
      <c r="B397" s="79">
        <v>2</v>
      </c>
    </row>
    <row r="398" spans="1:2">
      <c r="A398" s="69" t="s">
        <v>64</v>
      </c>
      <c r="B398" s="79">
        <v>4</v>
      </c>
    </row>
    <row r="399" spans="1:2">
      <c r="A399" s="69" t="s">
        <v>64</v>
      </c>
      <c r="B399" s="79">
        <v>2</v>
      </c>
    </row>
    <row r="400" spans="1:2">
      <c r="A400" s="69" t="s">
        <v>64</v>
      </c>
      <c r="B400" s="51">
        <v>3</v>
      </c>
    </row>
    <row r="401" spans="1:2">
      <c r="A401" s="69" t="s">
        <v>64</v>
      </c>
      <c r="B401" s="79">
        <v>2</v>
      </c>
    </row>
    <row r="402" spans="1:2">
      <c r="A402" s="69" t="s">
        <v>64</v>
      </c>
      <c r="B402" s="51">
        <v>5</v>
      </c>
    </row>
    <row r="403" spans="1:2">
      <c r="A403" s="69" t="s">
        <v>64</v>
      </c>
      <c r="B403" s="79">
        <v>2</v>
      </c>
    </row>
    <row r="404" spans="1:2">
      <c r="A404" s="69" t="s">
        <v>64</v>
      </c>
      <c r="B404" s="51">
        <v>1</v>
      </c>
    </row>
    <row r="405" spans="1:2">
      <c r="A405" s="69" t="s">
        <v>64</v>
      </c>
      <c r="B405" s="51">
        <v>2</v>
      </c>
    </row>
    <row r="406" spans="1:2">
      <c r="A406" s="69" t="s">
        <v>64</v>
      </c>
      <c r="B406" s="79">
        <v>2</v>
      </c>
    </row>
    <row r="407" spans="1:2">
      <c r="A407" s="69" t="s">
        <v>64</v>
      </c>
      <c r="B407" s="51">
        <v>2</v>
      </c>
    </row>
    <row r="408" spans="1:2">
      <c r="A408" s="69" t="s">
        <v>64</v>
      </c>
      <c r="B408" s="51">
        <v>1</v>
      </c>
    </row>
    <row r="409" spans="1:2">
      <c r="A409" s="69" t="s">
        <v>64</v>
      </c>
      <c r="B409" s="79">
        <v>5</v>
      </c>
    </row>
    <row r="410" spans="1:2">
      <c r="A410" s="69" t="s">
        <v>64</v>
      </c>
      <c r="B410" s="79">
        <v>1</v>
      </c>
    </row>
    <row r="411" spans="1:2">
      <c r="A411" s="69" t="s">
        <v>64</v>
      </c>
      <c r="B411" s="51">
        <v>5</v>
      </c>
    </row>
    <row r="412" spans="1:2">
      <c r="A412" s="69" t="s">
        <v>64</v>
      </c>
      <c r="B412" s="79">
        <v>4</v>
      </c>
    </row>
    <row r="413" spans="1:2">
      <c r="A413" s="69" t="s">
        <v>64</v>
      </c>
      <c r="B413" s="79">
        <v>5</v>
      </c>
    </row>
    <row r="414" spans="1:2">
      <c r="A414" s="69" t="s">
        <v>64</v>
      </c>
      <c r="B414" s="51">
        <v>5</v>
      </c>
    </row>
    <row r="415" spans="1:2">
      <c r="A415" s="69" t="s">
        <v>64</v>
      </c>
      <c r="B415" s="79">
        <v>3</v>
      </c>
    </row>
    <row r="416" spans="1:2">
      <c r="A416" s="69" t="s">
        <v>64</v>
      </c>
      <c r="B416" s="51">
        <v>3</v>
      </c>
    </row>
    <row r="417" spans="1:2">
      <c r="A417" s="69" t="s">
        <v>64</v>
      </c>
      <c r="B417" s="79">
        <v>4</v>
      </c>
    </row>
    <row r="418" spans="1:2">
      <c r="A418" s="69" t="s">
        <v>64</v>
      </c>
      <c r="B418" s="51">
        <v>1</v>
      </c>
    </row>
    <row r="419" spans="1:2">
      <c r="A419" s="69" t="s">
        <v>64</v>
      </c>
      <c r="B419" s="79">
        <v>5</v>
      </c>
    </row>
    <row r="420" spans="1:2">
      <c r="A420" s="69" t="s">
        <v>64</v>
      </c>
      <c r="B420" s="79">
        <v>4</v>
      </c>
    </row>
    <row r="421" spans="1:2">
      <c r="A421" s="69" t="s">
        <v>64</v>
      </c>
      <c r="B421" s="79">
        <v>3</v>
      </c>
    </row>
    <row r="422" spans="1:2">
      <c r="A422" s="69" t="s">
        <v>64</v>
      </c>
      <c r="B422" s="79">
        <v>1</v>
      </c>
    </row>
    <row r="423" spans="1:2">
      <c r="A423" s="69" t="s">
        <v>64</v>
      </c>
      <c r="B423" s="51">
        <v>4</v>
      </c>
    </row>
    <row r="424" spans="1:2">
      <c r="A424" s="69" t="s">
        <v>64</v>
      </c>
      <c r="B424" s="51">
        <v>2</v>
      </c>
    </row>
    <row r="425" spans="1:2">
      <c r="A425" s="69" t="s">
        <v>64</v>
      </c>
      <c r="B425" s="79">
        <v>1</v>
      </c>
    </row>
    <row r="426" spans="1:2">
      <c r="A426" s="69" t="s">
        <v>64</v>
      </c>
      <c r="B426" s="51">
        <v>2</v>
      </c>
    </row>
    <row r="427" spans="1:2">
      <c r="A427" s="69" t="s">
        <v>64</v>
      </c>
      <c r="B427" s="51">
        <v>4</v>
      </c>
    </row>
    <row r="428" spans="1:2">
      <c r="A428" s="69" t="s">
        <v>64</v>
      </c>
      <c r="B428" s="79">
        <v>1</v>
      </c>
    </row>
    <row r="429" spans="1:2">
      <c r="A429" s="69" t="s">
        <v>64</v>
      </c>
      <c r="B429" s="51">
        <v>4</v>
      </c>
    </row>
    <row r="430" spans="1:2">
      <c r="A430" s="69" t="s">
        <v>64</v>
      </c>
      <c r="B430" s="79">
        <v>1</v>
      </c>
    </row>
    <row r="431" spans="1:2">
      <c r="A431" s="69" t="s">
        <v>64</v>
      </c>
      <c r="B431" s="51">
        <v>5</v>
      </c>
    </row>
    <row r="432" spans="1:2">
      <c r="A432" s="69" t="s">
        <v>64</v>
      </c>
      <c r="B432" s="79">
        <v>4</v>
      </c>
    </row>
    <row r="433" spans="1:2">
      <c r="A433" s="69" t="s">
        <v>64</v>
      </c>
      <c r="B433" s="51">
        <v>4</v>
      </c>
    </row>
    <row r="434" spans="1:2">
      <c r="A434" s="69" t="s">
        <v>64</v>
      </c>
      <c r="B434" s="79">
        <v>4</v>
      </c>
    </row>
    <row r="435" spans="1:2">
      <c r="A435" s="69" t="s">
        <v>64</v>
      </c>
      <c r="B435" s="79">
        <v>4</v>
      </c>
    </row>
    <row r="436" spans="1:2">
      <c r="A436" s="69" t="s">
        <v>64</v>
      </c>
      <c r="B436" s="51">
        <v>4</v>
      </c>
    </row>
    <row r="437" spans="1:2">
      <c r="A437" s="69" t="s">
        <v>64</v>
      </c>
      <c r="B437" s="79">
        <v>5</v>
      </c>
    </row>
    <row r="438" spans="1:2">
      <c r="A438" s="69" t="s">
        <v>64</v>
      </c>
      <c r="B438" s="79">
        <v>3</v>
      </c>
    </row>
    <row r="439" spans="1:2">
      <c r="A439" s="69" t="s">
        <v>64</v>
      </c>
      <c r="B439" s="79">
        <v>5</v>
      </c>
    </row>
    <row r="440" spans="1:2">
      <c r="A440" s="69" t="s">
        <v>64</v>
      </c>
      <c r="B440" s="51">
        <v>4</v>
      </c>
    </row>
    <row r="441" spans="1:2">
      <c r="A441" s="69" t="s">
        <v>64</v>
      </c>
      <c r="B441" s="51">
        <v>4</v>
      </c>
    </row>
    <row r="442" spans="1:2">
      <c r="A442" s="69" t="s">
        <v>64</v>
      </c>
      <c r="B442" s="51">
        <v>3</v>
      </c>
    </row>
    <row r="443" spans="1:2">
      <c r="A443" s="69" t="s">
        <v>64</v>
      </c>
      <c r="B443" s="51">
        <v>2</v>
      </c>
    </row>
    <row r="444" spans="1:2">
      <c r="A444" s="69" t="s">
        <v>64</v>
      </c>
      <c r="B444" s="79">
        <v>3</v>
      </c>
    </row>
    <row r="445" spans="1:2">
      <c r="A445" s="69" t="s">
        <v>64</v>
      </c>
      <c r="B445" s="51">
        <v>1</v>
      </c>
    </row>
    <row r="446" spans="1:2">
      <c r="A446" s="69" t="s">
        <v>64</v>
      </c>
      <c r="B446" s="79">
        <v>2</v>
      </c>
    </row>
    <row r="447" spans="1:2">
      <c r="A447" s="69" t="s">
        <v>64</v>
      </c>
      <c r="B447" s="79">
        <v>2</v>
      </c>
    </row>
    <row r="448" spans="1:2">
      <c r="A448" s="69" t="s">
        <v>64</v>
      </c>
      <c r="B448" s="51">
        <v>3</v>
      </c>
    </row>
    <row r="449" spans="1:2">
      <c r="A449" s="69" t="s">
        <v>64</v>
      </c>
      <c r="B449" s="51">
        <v>2</v>
      </c>
    </row>
    <row r="450" spans="1:2">
      <c r="A450" s="69" t="s">
        <v>64</v>
      </c>
      <c r="B450" s="51">
        <v>1</v>
      </c>
    </row>
    <row r="451" spans="1:2">
      <c r="A451" s="69" t="s">
        <v>64</v>
      </c>
      <c r="B451" s="79">
        <v>5</v>
      </c>
    </row>
    <row r="452" spans="1:2">
      <c r="A452" s="69" t="s">
        <v>64</v>
      </c>
      <c r="B452" s="51">
        <v>3</v>
      </c>
    </row>
    <row r="453" spans="1:2">
      <c r="A453" s="69" t="s">
        <v>64</v>
      </c>
      <c r="B453" s="79">
        <v>4</v>
      </c>
    </row>
    <row r="454" spans="1:2">
      <c r="A454" s="69" t="s">
        <v>64</v>
      </c>
      <c r="B454" s="51">
        <v>5</v>
      </c>
    </row>
    <row r="455" spans="1:2">
      <c r="A455" s="69" t="s">
        <v>64</v>
      </c>
      <c r="B455" s="51">
        <v>5</v>
      </c>
    </row>
    <row r="456" spans="1:2">
      <c r="A456" s="69" t="s">
        <v>64</v>
      </c>
      <c r="B456" s="79">
        <v>4</v>
      </c>
    </row>
    <row r="457" spans="1:2">
      <c r="A457" s="69" t="s">
        <v>64</v>
      </c>
      <c r="B457" s="51">
        <v>3</v>
      </c>
    </row>
    <row r="458" spans="1:2">
      <c r="A458" s="69" t="s">
        <v>64</v>
      </c>
      <c r="B458" s="51">
        <v>5</v>
      </c>
    </row>
    <row r="459" spans="1:2">
      <c r="A459" s="69" t="s">
        <v>64</v>
      </c>
      <c r="B459" s="51">
        <v>5</v>
      </c>
    </row>
    <row r="460" spans="1:2">
      <c r="A460" s="69" t="s">
        <v>64</v>
      </c>
      <c r="B460" s="51">
        <v>5</v>
      </c>
    </row>
    <row r="461" spans="1:2">
      <c r="A461" s="69" t="s">
        <v>64</v>
      </c>
      <c r="B461" s="79">
        <v>1</v>
      </c>
    </row>
    <row r="462" spans="1:2">
      <c r="A462" s="69" t="s">
        <v>64</v>
      </c>
      <c r="B462" s="51">
        <v>5</v>
      </c>
    </row>
    <row r="463" spans="1:2">
      <c r="A463" s="69" t="s">
        <v>64</v>
      </c>
      <c r="B463" s="79">
        <v>1</v>
      </c>
    </row>
    <row r="464" spans="1:2">
      <c r="A464" s="69" t="s">
        <v>64</v>
      </c>
      <c r="B464" s="51">
        <v>2</v>
      </c>
    </row>
    <row r="465" spans="1:2">
      <c r="A465" s="69" t="s">
        <v>64</v>
      </c>
      <c r="B465" s="51">
        <v>2</v>
      </c>
    </row>
    <row r="466" spans="1:2">
      <c r="A466" s="69" t="s">
        <v>64</v>
      </c>
      <c r="B466" s="79">
        <v>3</v>
      </c>
    </row>
    <row r="467" spans="1:2">
      <c r="A467" s="69" t="s">
        <v>64</v>
      </c>
      <c r="B467" s="51">
        <v>5</v>
      </c>
    </row>
    <row r="468" spans="1:2">
      <c r="A468" s="69" t="s">
        <v>64</v>
      </c>
      <c r="B468" s="79">
        <v>1</v>
      </c>
    </row>
    <row r="469" spans="1:2">
      <c r="A469" s="69" t="s">
        <v>64</v>
      </c>
      <c r="B469" s="51">
        <v>4</v>
      </c>
    </row>
    <row r="470" spans="1:2">
      <c r="A470" s="69" t="s">
        <v>64</v>
      </c>
      <c r="B470" s="79">
        <v>1</v>
      </c>
    </row>
    <row r="471" spans="1:2">
      <c r="A471" s="69" t="s">
        <v>64</v>
      </c>
      <c r="B471" s="51">
        <v>5</v>
      </c>
    </row>
    <row r="472" spans="1:2">
      <c r="A472" s="69" t="s">
        <v>64</v>
      </c>
      <c r="B472" s="51">
        <v>4</v>
      </c>
    </row>
    <row r="473" spans="1:2">
      <c r="A473" s="69" t="s">
        <v>64</v>
      </c>
      <c r="B473" s="79">
        <v>5</v>
      </c>
    </row>
    <row r="474" spans="1:2">
      <c r="A474" s="69" t="s">
        <v>64</v>
      </c>
      <c r="B474" s="51">
        <v>3</v>
      </c>
    </row>
    <row r="475" spans="1:2">
      <c r="A475" s="69" t="s">
        <v>64</v>
      </c>
      <c r="B475" s="51">
        <v>1</v>
      </c>
    </row>
    <row r="476" spans="1:2">
      <c r="A476" s="69" t="s">
        <v>64</v>
      </c>
      <c r="B476" s="79">
        <v>3</v>
      </c>
    </row>
    <row r="477" spans="1:2">
      <c r="A477" s="69" t="s">
        <v>64</v>
      </c>
      <c r="B477" s="51">
        <v>5</v>
      </c>
    </row>
    <row r="478" spans="1:2">
      <c r="A478" s="69" t="s">
        <v>64</v>
      </c>
      <c r="B478" s="79">
        <v>1</v>
      </c>
    </row>
    <row r="479" spans="1:2">
      <c r="A479" s="69" t="s">
        <v>64</v>
      </c>
      <c r="B479" s="79">
        <v>5</v>
      </c>
    </row>
    <row r="480" spans="1:2">
      <c r="A480" s="69" t="s">
        <v>64</v>
      </c>
      <c r="B480" s="79">
        <v>1</v>
      </c>
    </row>
  </sheetData>
  <sortState xmlns:xlrd2="http://schemas.microsoft.com/office/spreadsheetml/2017/richdata2" ref="A130:B478">
    <sortCondition ref="A130:A478"/>
  </sortState>
  <mergeCells count="4">
    <mergeCell ref="E12:F12"/>
    <mergeCell ref="F17:L17"/>
    <mergeCell ref="F127:L127"/>
    <mergeCell ref="B1:D1"/>
  </mergeCells>
  <pageMargins left="0.7" right="0.7" top="0.75" bottom="0.75" header="0.3" footer="0.3"/>
  <drawing r:id="rId4"/>
  <tableParts count="1"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8DF4-2C39-4CD1-AF3C-03E1BD497EC6}">
  <dimension ref="A1:F10"/>
  <sheetViews>
    <sheetView workbookViewId="0"/>
  </sheetViews>
  <sheetFormatPr defaultRowHeight="12.75"/>
  <cols>
    <col min="1" max="1" width="31.140625" customWidth="1"/>
    <col min="2" max="2" width="18.42578125" customWidth="1"/>
    <col min="3" max="3" width="22.42578125" customWidth="1"/>
    <col min="4" max="4" width="25.7109375" customWidth="1"/>
    <col min="5" max="5" width="10.42578125" customWidth="1"/>
    <col min="6" max="6" width="12.42578125" bestFit="1" customWidth="1"/>
  </cols>
  <sheetData>
    <row r="1" spans="1:6" ht="36">
      <c r="A1" s="96" t="s">
        <v>605</v>
      </c>
    </row>
    <row r="2" spans="1:6" ht="74.25" customHeight="1">
      <c r="A2" s="107" t="s">
        <v>635</v>
      </c>
      <c r="B2" s="107"/>
      <c r="C2" s="107"/>
      <c r="D2" s="107"/>
      <c r="E2" s="107"/>
      <c r="F2" s="107"/>
    </row>
    <row r="4" spans="1:6" ht="15">
      <c r="A4" s="25" t="s">
        <v>636</v>
      </c>
      <c r="B4" s="16" t="s">
        <v>5</v>
      </c>
      <c r="C4" s="17"/>
      <c r="D4" s="17"/>
      <c r="E4" s="17"/>
    </row>
    <row r="5" spans="1:6" ht="15">
      <c r="A5" s="25" t="s">
        <v>27</v>
      </c>
      <c r="B5" s="26" t="s">
        <v>53</v>
      </c>
      <c r="C5" s="26" t="s">
        <v>44</v>
      </c>
      <c r="D5" s="26" t="s">
        <v>32</v>
      </c>
      <c r="E5" s="26" t="s">
        <v>85</v>
      </c>
    </row>
    <row r="6" spans="1:6" ht="15">
      <c r="A6" s="27">
        <v>45949</v>
      </c>
      <c r="B6" s="28">
        <v>0</v>
      </c>
      <c r="C6" s="28">
        <v>0</v>
      </c>
      <c r="D6" s="28">
        <v>0</v>
      </c>
      <c r="E6" s="28">
        <v>2</v>
      </c>
    </row>
    <row r="7" spans="1:6" ht="15">
      <c r="A7" s="27">
        <v>45951</v>
      </c>
      <c r="B7" s="28">
        <v>5</v>
      </c>
      <c r="C7" s="28">
        <v>0</v>
      </c>
      <c r="D7" s="28">
        <v>10</v>
      </c>
      <c r="E7" s="28">
        <v>0</v>
      </c>
    </row>
    <row r="8" spans="1:6" ht="15">
      <c r="A8" s="27">
        <v>45952</v>
      </c>
      <c r="B8" s="28">
        <v>12</v>
      </c>
      <c r="C8" s="28">
        <v>13</v>
      </c>
      <c r="D8" s="28">
        <v>2</v>
      </c>
      <c r="E8" s="28">
        <v>0</v>
      </c>
    </row>
    <row r="9" spans="1:6" ht="15">
      <c r="A9" s="27">
        <v>45953</v>
      </c>
      <c r="B9" s="28">
        <v>73</v>
      </c>
      <c r="C9" s="28">
        <v>0</v>
      </c>
      <c r="D9" s="28">
        <v>25</v>
      </c>
      <c r="E9" s="28">
        <v>0</v>
      </c>
    </row>
    <row r="10" spans="1:6" ht="15">
      <c r="A10" s="27">
        <v>45954</v>
      </c>
      <c r="B10" s="28">
        <v>1</v>
      </c>
      <c r="C10" s="28">
        <v>77</v>
      </c>
      <c r="D10" s="28">
        <v>47</v>
      </c>
      <c r="E10" s="28">
        <v>82</v>
      </c>
    </row>
  </sheetData>
  <mergeCells count="2">
    <mergeCell ref="A2:C2"/>
    <mergeCell ref="D2:F2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03C7-752E-4E40-AEAE-8051A582E151}">
  <dimension ref="A1:M52"/>
  <sheetViews>
    <sheetView workbookViewId="0">
      <selection activeCell="B4" sqref="B4"/>
    </sheetView>
  </sheetViews>
  <sheetFormatPr defaultRowHeight="12.75"/>
  <cols>
    <col min="1" max="1" width="23.42578125" customWidth="1"/>
    <col min="2" max="2" width="10.7109375" customWidth="1"/>
    <col min="3" max="3" width="27.85546875" bestFit="1" customWidth="1"/>
    <col min="17" max="17" width="19.5703125" bestFit="1" customWidth="1"/>
    <col min="18" max="18" width="23.85546875" bestFit="1" customWidth="1"/>
    <col min="19" max="19" width="24.85546875" bestFit="1" customWidth="1"/>
  </cols>
  <sheetData>
    <row r="1" spans="1:12" ht="36">
      <c r="A1" s="96" t="s">
        <v>605</v>
      </c>
    </row>
    <row r="2" spans="1:12" ht="42" customHeight="1">
      <c r="A2" s="113" t="s">
        <v>637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</row>
    <row r="4" spans="1:12" ht="15">
      <c r="A4" s="25" t="s">
        <v>21</v>
      </c>
      <c r="B4" s="26" t="s">
        <v>620</v>
      </c>
    </row>
    <row r="5" spans="1:12" ht="15">
      <c r="A5" s="26">
        <v>1</v>
      </c>
      <c r="B5" s="94">
        <v>2.8653295128939827E-3</v>
      </c>
    </row>
    <row r="6" spans="1:12" ht="15">
      <c r="A6" s="26">
        <v>2</v>
      </c>
      <c r="B6" s="94">
        <v>5.7306590257879654E-3</v>
      </c>
    </row>
    <row r="7" spans="1:12" ht="15">
      <c r="A7" s="26">
        <v>3</v>
      </c>
      <c r="B7" s="94">
        <v>8.5959885386819486E-3</v>
      </c>
    </row>
    <row r="8" spans="1:12" ht="15">
      <c r="A8" s="26">
        <v>4</v>
      </c>
      <c r="B8" s="94">
        <v>2.5787965616045846E-2</v>
      </c>
    </row>
    <row r="9" spans="1:12" ht="15">
      <c r="A9" s="26">
        <v>5</v>
      </c>
      <c r="B9" s="94">
        <v>3.7249283667621778E-2</v>
      </c>
    </row>
    <row r="10" spans="1:12" ht="15">
      <c r="A10" s="26">
        <v>6</v>
      </c>
      <c r="B10" s="94">
        <v>6.8767908309455589E-2</v>
      </c>
    </row>
    <row r="11" spans="1:12" ht="15">
      <c r="A11" s="26">
        <v>7</v>
      </c>
      <c r="B11" s="94">
        <v>0.12607449856733524</v>
      </c>
    </row>
    <row r="12" spans="1:12" ht="15">
      <c r="A12" s="26">
        <v>8</v>
      </c>
      <c r="B12" s="94">
        <v>0.19484240687679083</v>
      </c>
    </row>
    <row r="13" spans="1:12" ht="15">
      <c r="A13" s="26">
        <v>9</v>
      </c>
      <c r="B13" s="94">
        <v>0.16332378223495703</v>
      </c>
    </row>
    <row r="14" spans="1:12" ht="15">
      <c r="A14" s="26">
        <v>10</v>
      </c>
      <c r="B14" s="94">
        <v>0.36676217765042979</v>
      </c>
    </row>
    <row r="17" spans="1:12">
      <c r="B17" s="95"/>
    </row>
    <row r="22" spans="1:12" ht="42.75" customHeight="1">
      <c r="B22" s="101"/>
      <c r="C22" s="101"/>
      <c r="D22" s="114" t="s">
        <v>638</v>
      </c>
      <c r="E22" s="114"/>
      <c r="F22" s="114"/>
      <c r="G22" s="114"/>
      <c r="H22" s="114"/>
      <c r="I22" s="114"/>
      <c r="J22" s="114"/>
      <c r="K22" s="114"/>
      <c r="L22" s="101"/>
    </row>
    <row r="23" spans="1:12" ht="12.75" customHeight="1">
      <c r="B23" s="101"/>
      <c r="C23" s="101"/>
      <c r="D23" s="114"/>
      <c r="E23" s="114"/>
      <c r="F23" s="114"/>
      <c r="G23" s="114"/>
      <c r="H23" s="114"/>
      <c r="I23" s="114"/>
      <c r="J23" s="114"/>
      <c r="K23" s="114"/>
      <c r="L23" s="101"/>
    </row>
    <row r="24" spans="1:12" ht="20.25" customHeight="1">
      <c r="B24" s="101"/>
      <c r="C24" s="101"/>
      <c r="D24" s="114"/>
      <c r="E24" s="114"/>
      <c r="F24" s="114"/>
      <c r="G24" s="114"/>
      <c r="H24" s="114"/>
      <c r="I24" s="114"/>
      <c r="J24" s="114"/>
      <c r="K24" s="114"/>
      <c r="L24" s="101"/>
    </row>
    <row r="28" spans="1:12">
      <c r="A28" s="18" t="s">
        <v>16</v>
      </c>
      <c r="B28" s="19" t="s">
        <v>619</v>
      </c>
    </row>
    <row r="29" spans="1:12">
      <c r="A29" s="19">
        <v>1</v>
      </c>
      <c r="B29" s="77">
        <v>35</v>
      </c>
    </row>
    <row r="30" spans="1:12">
      <c r="A30" s="19">
        <v>2</v>
      </c>
      <c r="B30" s="77">
        <v>32</v>
      </c>
    </row>
    <row r="31" spans="1:12">
      <c r="A31" s="19">
        <v>3</v>
      </c>
      <c r="B31" s="77">
        <v>89</v>
      </c>
    </row>
    <row r="32" spans="1:12">
      <c r="A32" s="19">
        <v>4</v>
      </c>
      <c r="B32" s="77">
        <v>80</v>
      </c>
    </row>
    <row r="33" spans="1:2">
      <c r="A33" s="19">
        <v>5</v>
      </c>
      <c r="B33" s="77">
        <v>113</v>
      </c>
    </row>
    <row r="52" spans="3:13" ht="51.75" customHeight="1">
      <c r="C52" s="114" t="s">
        <v>639</v>
      </c>
      <c r="D52" s="114"/>
      <c r="E52" s="114"/>
      <c r="F52" s="114"/>
      <c r="G52" s="114"/>
      <c r="H52" s="114"/>
      <c r="I52" s="114"/>
      <c r="J52" s="114"/>
      <c r="K52" s="114"/>
      <c r="L52" s="99"/>
      <c r="M52" s="99"/>
    </row>
  </sheetData>
  <mergeCells count="3">
    <mergeCell ref="A2:L2"/>
    <mergeCell ref="D22:K24"/>
    <mergeCell ref="C52:K52"/>
  </mergeCell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05A9B-39FD-4D6E-9EA9-7D2E539833CE}">
  <dimension ref="A1:B10"/>
  <sheetViews>
    <sheetView workbookViewId="0"/>
  </sheetViews>
  <sheetFormatPr defaultRowHeight="12.75"/>
  <cols>
    <col min="1" max="1" width="22.7109375" customWidth="1"/>
    <col min="2" max="2" width="22.28515625" bestFit="1" customWidth="1"/>
  </cols>
  <sheetData>
    <row r="1" spans="1:2" ht="36">
      <c r="A1" s="96" t="s">
        <v>605</v>
      </c>
    </row>
    <row r="2" spans="1:2" ht="135" customHeight="1">
      <c r="A2" s="115" t="s">
        <v>640</v>
      </c>
      <c r="B2" s="115"/>
    </row>
    <row r="4" spans="1:2">
      <c r="A4" s="7" t="s">
        <v>22</v>
      </c>
      <c r="B4" s="100" t="s">
        <v>641</v>
      </c>
    </row>
    <row r="5" spans="1:2">
      <c r="A5" s="100">
        <v>1</v>
      </c>
      <c r="B5" s="3">
        <v>124</v>
      </c>
    </row>
    <row r="6" spans="1:2">
      <c r="A6" s="100">
        <v>2</v>
      </c>
      <c r="B6" s="3">
        <v>106</v>
      </c>
    </row>
    <row r="7" spans="1:2">
      <c r="A7" s="100">
        <v>3</v>
      </c>
      <c r="B7" s="3">
        <v>104</v>
      </c>
    </row>
    <row r="8" spans="1:2">
      <c r="A8" s="100">
        <v>4</v>
      </c>
      <c r="B8" s="3">
        <v>11</v>
      </c>
    </row>
    <row r="9" spans="1:2">
      <c r="A9" s="100">
        <v>5</v>
      </c>
      <c r="B9" s="3">
        <v>4</v>
      </c>
    </row>
    <row r="10" spans="1:2">
      <c r="A10" s="100" t="s">
        <v>614</v>
      </c>
      <c r="B10" s="3">
        <v>349</v>
      </c>
    </row>
  </sheetData>
  <mergeCells count="1">
    <mergeCell ref="A2:B2"/>
  </mergeCells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66503-4FBC-4AD2-8A5E-0B1775CB8A43}">
  <dimension ref="A1:C90"/>
  <sheetViews>
    <sheetView workbookViewId="0">
      <selection activeCell="A2" sqref="A1:A2"/>
    </sheetView>
  </sheetViews>
  <sheetFormatPr defaultRowHeight="12.75"/>
  <cols>
    <col min="1" max="1" width="201.85546875" customWidth="1"/>
    <col min="2" max="2" width="26.42578125" customWidth="1"/>
    <col min="3" max="3" width="26" customWidth="1"/>
  </cols>
  <sheetData>
    <row r="1" spans="1:3" ht="18">
      <c r="A1" s="96" t="s">
        <v>642</v>
      </c>
    </row>
    <row r="2" spans="1:3" ht="36">
      <c r="A2" s="96" t="s">
        <v>643</v>
      </c>
    </row>
    <row r="3" spans="1:3" ht="15">
      <c r="A3" s="40" t="s">
        <v>18</v>
      </c>
      <c r="B3" s="34" t="s">
        <v>644</v>
      </c>
      <c r="C3" s="34" t="s">
        <v>645</v>
      </c>
    </row>
    <row r="4" spans="1:3" ht="15">
      <c r="A4" s="8" t="s">
        <v>170</v>
      </c>
      <c r="B4" s="35">
        <v>1</v>
      </c>
      <c r="C4" s="36">
        <v>2.8653295128939827E-3</v>
      </c>
    </row>
    <row r="5" spans="1:3" ht="15">
      <c r="A5" s="8" t="s">
        <v>246</v>
      </c>
      <c r="B5" s="35">
        <v>1</v>
      </c>
      <c r="C5" s="36">
        <v>2.8653295128939827E-3</v>
      </c>
    </row>
    <row r="6" spans="1:3" ht="15">
      <c r="A6" s="8" t="s">
        <v>38</v>
      </c>
      <c r="B6" s="35">
        <v>48</v>
      </c>
      <c r="C6" s="36">
        <v>0.13753581661891118</v>
      </c>
    </row>
    <row r="7" spans="1:3" ht="15">
      <c r="A7" s="8" t="s">
        <v>367</v>
      </c>
      <c r="B7" s="35">
        <v>1</v>
      </c>
      <c r="C7" s="36">
        <v>2.8653295128939827E-3</v>
      </c>
    </row>
    <row r="8" spans="1:3" ht="15">
      <c r="A8" s="8" t="s">
        <v>135</v>
      </c>
      <c r="B8" s="35">
        <v>18</v>
      </c>
      <c r="C8" s="36">
        <v>5.1575931232091692E-2</v>
      </c>
    </row>
    <row r="9" spans="1:3" ht="15">
      <c r="A9" s="8" t="s">
        <v>369</v>
      </c>
      <c r="B9" s="35">
        <v>1</v>
      </c>
      <c r="C9" s="36">
        <v>2.8653295128939827E-3</v>
      </c>
    </row>
    <row r="10" spans="1:3" ht="15">
      <c r="A10" s="8" t="s">
        <v>225</v>
      </c>
      <c r="B10" s="35">
        <v>2</v>
      </c>
      <c r="C10" s="36">
        <v>5.7306590257879654E-3</v>
      </c>
    </row>
    <row r="11" spans="1:3" ht="15">
      <c r="A11" s="8" t="s">
        <v>91</v>
      </c>
      <c r="B11" s="35">
        <v>34</v>
      </c>
      <c r="C11" s="36">
        <v>9.7421203438395415E-2</v>
      </c>
    </row>
    <row r="12" spans="1:3" ht="15">
      <c r="A12" s="8" t="s">
        <v>80</v>
      </c>
      <c r="B12" s="35">
        <v>7</v>
      </c>
      <c r="C12" s="36">
        <v>2.0057306590257881E-2</v>
      </c>
    </row>
    <row r="13" spans="1:3" ht="15">
      <c r="A13" s="8" t="s">
        <v>75</v>
      </c>
      <c r="B13" s="35">
        <v>10</v>
      </c>
      <c r="C13" s="36">
        <v>2.865329512893983E-2</v>
      </c>
    </row>
    <row r="14" spans="1:3" ht="15">
      <c r="A14" s="8" t="s">
        <v>59</v>
      </c>
      <c r="B14" s="35">
        <v>6</v>
      </c>
      <c r="C14" s="36">
        <v>1.7191977077363897E-2</v>
      </c>
    </row>
    <row r="15" spans="1:3" ht="15">
      <c r="A15" s="8" t="s">
        <v>121</v>
      </c>
      <c r="B15" s="35">
        <v>3</v>
      </c>
      <c r="C15" s="36">
        <v>8.5959885386819486E-3</v>
      </c>
    </row>
    <row r="16" spans="1:3" ht="15">
      <c r="A16" s="8" t="s">
        <v>192</v>
      </c>
      <c r="B16" s="35">
        <v>13</v>
      </c>
      <c r="C16" s="36">
        <v>3.7249283667621778E-2</v>
      </c>
    </row>
    <row r="17" spans="1:3" ht="15">
      <c r="A17" s="8" t="s">
        <v>355</v>
      </c>
      <c r="B17" s="35">
        <v>6</v>
      </c>
      <c r="C17" s="36">
        <v>1.7191977077363897E-2</v>
      </c>
    </row>
    <row r="18" spans="1:3" ht="15">
      <c r="A18" s="8" t="s">
        <v>364</v>
      </c>
      <c r="B18" s="35">
        <v>1</v>
      </c>
      <c r="C18" s="36">
        <v>2.8653295128939827E-3</v>
      </c>
    </row>
    <row r="19" spans="1:3" ht="15">
      <c r="A19" s="8" t="s">
        <v>295</v>
      </c>
      <c r="B19" s="35">
        <v>4</v>
      </c>
      <c r="C19" s="36">
        <v>1.1461318051575931E-2</v>
      </c>
    </row>
    <row r="20" spans="1:3" ht="15">
      <c r="A20" s="8" t="s">
        <v>207</v>
      </c>
      <c r="B20" s="35">
        <v>9</v>
      </c>
      <c r="C20" s="36">
        <v>2.5787965616045846E-2</v>
      </c>
    </row>
    <row r="21" spans="1:3" ht="15">
      <c r="A21" s="8" t="s">
        <v>449</v>
      </c>
      <c r="B21" s="35">
        <v>2</v>
      </c>
      <c r="C21" s="36">
        <v>5.7306590257879654E-3</v>
      </c>
    </row>
    <row r="22" spans="1:3" ht="15">
      <c r="A22" s="8" t="s">
        <v>416</v>
      </c>
      <c r="B22" s="35">
        <v>1</v>
      </c>
      <c r="C22" s="36">
        <v>2.8653295128939827E-3</v>
      </c>
    </row>
    <row r="23" spans="1:3" ht="15">
      <c r="A23" s="8" t="s">
        <v>562</v>
      </c>
      <c r="B23" s="35">
        <v>1</v>
      </c>
      <c r="C23" s="36">
        <v>2.8653295128939827E-3</v>
      </c>
    </row>
    <row r="24" spans="1:3" ht="15">
      <c r="A24" s="8" t="s">
        <v>162</v>
      </c>
      <c r="B24" s="35">
        <v>1</v>
      </c>
      <c r="C24" s="36">
        <v>2.8653295128939827E-3</v>
      </c>
    </row>
    <row r="25" spans="1:3" ht="15">
      <c r="A25" s="8" t="s">
        <v>180</v>
      </c>
      <c r="B25" s="35">
        <v>4</v>
      </c>
      <c r="C25" s="36">
        <v>1.1461318051575931E-2</v>
      </c>
    </row>
    <row r="26" spans="1:3" ht="15">
      <c r="A26" s="8" t="s">
        <v>498</v>
      </c>
      <c r="B26" s="35">
        <v>1</v>
      </c>
      <c r="C26" s="36">
        <v>2.8653295128939827E-3</v>
      </c>
    </row>
    <row r="27" spans="1:3" ht="15">
      <c r="A27" s="8" t="s">
        <v>386</v>
      </c>
      <c r="B27" s="35">
        <v>1</v>
      </c>
      <c r="C27" s="36">
        <v>2.8653295128939827E-3</v>
      </c>
    </row>
    <row r="28" spans="1:3" ht="15">
      <c r="A28" s="8" t="s">
        <v>315</v>
      </c>
      <c r="B28" s="35">
        <v>1</v>
      </c>
      <c r="C28" s="36">
        <v>2.8653295128939827E-3</v>
      </c>
    </row>
    <row r="29" spans="1:3" ht="15">
      <c r="A29" s="8" t="s">
        <v>538</v>
      </c>
      <c r="B29" s="35">
        <v>1</v>
      </c>
      <c r="C29" s="36">
        <v>2.8653295128939827E-3</v>
      </c>
    </row>
    <row r="30" spans="1:3" ht="15">
      <c r="A30" s="8" t="s">
        <v>48</v>
      </c>
      <c r="B30" s="35">
        <v>46</v>
      </c>
      <c r="C30" s="36">
        <v>0.1318051575931232</v>
      </c>
    </row>
    <row r="31" spans="1:3" ht="15">
      <c r="A31" s="8" t="s">
        <v>141</v>
      </c>
      <c r="B31" s="35">
        <v>34</v>
      </c>
      <c r="C31" s="36">
        <v>9.7421203438395415E-2</v>
      </c>
    </row>
    <row r="32" spans="1:3" ht="15">
      <c r="A32" s="8" t="s">
        <v>132</v>
      </c>
      <c r="B32" s="35">
        <v>6</v>
      </c>
      <c r="C32" s="36">
        <v>1.7191977077363897E-2</v>
      </c>
    </row>
    <row r="33" spans="1:3" ht="15">
      <c r="A33" s="8" t="s">
        <v>86</v>
      </c>
      <c r="B33" s="35">
        <v>6</v>
      </c>
      <c r="C33" s="36">
        <v>1.7191977077363897E-2</v>
      </c>
    </row>
    <row r="34" spans="1:3" ht="15">
      <c r="A34" s="8" t="s">
        <v>127</v>
      </c>
      <c r="B34" s="35">
        <v>7</v>
      </c>
      <c r="C34" s="36">
        <v>2.0057306590257881E-2</v>
      </c>
    </row>
    <row r="35" spans="1:3" ht="15">
      <c r="A35" s="8" t="s">
        <v>146</v>
      </c>
      <c r="B35" s="35">
        <v>7</v>
      </c>
      <c r="C35" s="36">
        <v>2.0057306590257881E-2</v>
      </c>
    </row>
    <row r="36" spans="1:3" ht="15">
      <c r="A36" s="8" t="s">
        <v>130</v>
      </c>
      <c r="B36" s="35">
        <v>4</v>
      </c>
      <c r="C36" s="36">
        <v>1.1461318051575931E-2</v>
      </c>
    </row>
    <row r="37" spans="1:3" ht="15">
      <c r="A37" s="8" t="s">
        <v>55</v>
      </c>
      <c r="B37" s="35">
        <v>23</v>
      </c>
      <c r="C37" s="36">
        <v>6.5902578796561598E-2</v>
      </c>
    </row>
    <row r="38" spans="1:3" ht="15">
      <c r="A38" s="8" t="s">
        <v>249</v>
      </c>
      <c r="B38" s="35">
        <v>13</v>
      </c>
      <c r="C38" s="36">
        <v>3.7249283667621778E-2</v>
      </c>
    </row>
    <row r="39" spans="1:3" ht="15">
      <c r="A39" s="8" t="s">
        <v>543</v>
      </c>
      <c r="B39" s="35">
        <v>1</v>
      </c>
      <c r="C39" s="36">
        <v>2.8653295128939827E-3</v>
      </c>
    </row>
    <row r="40" spans="1:3" ht="15">
      <c r="A40" s="8" t="s">
        <v>546</v>
      </c>
      <c r="B40" s="35">
        <v>1</v>
      </c>
      <c r="C40" s="36">
        <v>2.8653295128939827E-3</v>
      </c>
    </row>
    <row r="41" spans="1:3" ht="15">
      <c r="A41" s="8" t="s">
        <v>125</v>
      </c>
      <c r="B41" s="35">
        <v>11</v>
      </c>
      <c r="C41" s="36">
        <v>3.151862464183381E-2</v>
      </c>
    </row>
    <row r="42" spans="1:3" ht="15">
      <c r="A42" s="8" t="s">
        <v>101</v>
      </c>
      <c r="B42" s="35">
        <v>4</v>
      </c>
      <c r="C42" s="36">
        <v>1.1461318051575931E-2</v>
      </c>
    </row>
    <row r="43" spans="1:3" ht="15">
      <c r="A43" s="8" t="s">
        <v>259</v>
      </c>
      <c r="B43" s="35">
        <v>6</v>
      </c>
      <c r="C43" s="36">
        <v>1.7191977077363897E-2</v>
      </c>
    </row>
    <row r="44" spans="1:3" ht="15">
      <c r="A44" s="8" t="s">
        <v>176</v>
      </c>
      <c r="B44" s="35">
        <v>1</v>
      </c>
      <c r="C44" s="36">
        <v>2.8653295128939827E-3</v>
      </c>
    </row>
    <row r="45" spans="1:3" ht="15">
      <c r="A45" s="8" t="s">
        <v>501</v>
      </c>
      <c r="B45" s="35">
        <v>1</v>
      </c>
      <c r="C45" s="36">
        <v>2.8653295128939827E-3</v>
      </c>
    </row>
    <row r="46" spans="1:3" ht="15">
      <c r="A46" s="8" t="s">
        <v>614</v>
      </c>
      <c r="B46" s="35">
        <v>349</v>
      </c>
      <c r="C46" s="36">
        <v>1</v>
      </c>
    </row>
    <row r="49" spans="1:3" ht="15">
      <c r="A49" s="41" t="s">
        <v>24</v>
      </c>
      <c r="B49" s="42" t="s">
        <v>646</v>
      </c>
      <c r="C49" s="42" t="s">
        <v>645</v>
      </c>
    </row>
    <row r="50" spans="1:3" ht="15">
      <c r="A50" s="9" t="s">
        <v>246</v>
      </c>
      <c r="B50" s="37">
        <v>1</v>
      </c>
      <c r="C50" s="38">
        <v>2.8653295128939827E-3</v>
      </c>
    </row>
    <row r="51" spans="1:3" ht="15">
      <c r="A51" s="9" t="s">
        <v>181</v>
      </c>
      <c r="B51" s="37">
        <v>5</v>
      </c>
      <c r="C51" s="38">
        <v>1.4326647564469915E-2</v>
      </c>
    </row>
    <row r="52" spans="1:3" ht="15">
      <c r="A52" s="9" t="s">
        <v>70</v>
      </c>
      <c r="B52" s="37">
        <v>3</v>
      </c>
      <c r="C52" s="38">
        <v>8.5959885386819486E-3</v>
      </c>
    </row>
    <row r="53" spans="1:3" ht="15">
      <c r="A53" s="9" t="s">
        <v>275</v>
      </c>
      <c r="B53" s="37">
        <v>3</v>
      </c>
      <c r="C53" s="38">
        <v>8.5959885386819486E-3</v>
      </c>
    </row>
    <row r="54" spans="1:3" ht="15">
      <c r="A54" s="9" t="s">
        <v>272</v>
      </c>
      <c r="B54" s="37">
        <v>8</v>
      </c>
      <c r="C54" s="38">
        <v>2.2922636103151862E-2</v>
      </c>
    </row>
    <row r="55" spans="1:3" ht="15">
      <c r="A55" s="9" t="s">
        <v>76</v>
      </c>
      <c r="B55" s="37">
        <v>9</v>
      </c>
      <c r="C55" s="38">
        <v>2.5787965616045846E-2</v>
      </c>
    </row>
    <row r="56" spans="1:3" ht="15">
      <c r="A56" s="9" t="s">
        <v>183</v>
      </c>
      <c r="B56" s="37">
        <v>1</v>
      </c>
      <c r="C56" s="38">
        <v>2.8653295128939827E-3</v>
      </c>
    </row>
    <row r="57" spans="1:3" ht="15">
      <c r="A57" s="9" t="s">
        <v>177</v>
      </c>
      <c r="B57" s="37">
        <v>5</v>
      </c>
      <c r="C57" s="38">
        <v>1.4326647564469915E-2</v>
      </c>
    </row>
    <row r="58" spans="1:3" ht="15">
      <c r="A58" s="9" t="s">
        <v>82</v>
      </c>
      <c r="B58" s="37">
        <v>35</v>
      </c>
      <c r="C58" s="38">
        <v>0.10028653295128939</v>
      </c>
    </row>
    <row r="59" spans="1:3" ht="15">
      <c r="A59" s="9" t="s">
        <v>231</v>
      </c>
      <c r="B59" s="37">
        <v>7</v>
      </c>
      <c r="C59" s="38">
        <v>2.0057306590257881E-2</v>
      </c>
    </row>
    <row r="60" spans="1:3" ht="15">
      <c r="A60" s="9" t="s">
        <v>201</v>
      </c>
      <c r="B60" s="37">
        <v>10</v>
      </c>
      <c r="C60" s="38">
        <v>2.865329512893983E-2</v>
      </c>
    </row>
    <row r="61" spans="1:3" ht="15">
      <c r="A61" s="9" t="s">
        <v>144</v>
      </c>
      <c r="B61" s="37">
        <v>7</v>
      </c>
      <c r="C61" s="38">
        <v>2.0057306590257881E-2</v>
      </c>
    </row>
    <row r="62" spans="1:3" ht="15">
      <c r="A62" s="9" t="s">
        <v>241</v>
      </c>
      <c r="B62" s="37">
        <v>5</v>
      </c>
      <c r="C62" s="38">
        <v>1.4326647564469915E-2</v>
      </c>
    </row>
    <row r="63" spans="1:3" ht="15">
      <c r="A63" s="9" t="s">
        <v>65</v>
      </c>
      <c r="B63" s="37">
        <v>22</v>
      </c>
      <c r="C63" s="38">
        <v>6.3037249283667621E-2</v>
      </c>
    </row>
    <row r="64" spans="1:3" ht="15">
      <c r="A64" s="9" t="s">
        <v>118</v>
      </c>
      <c r="B64" s="37">
        <v>17</v>
      </c>
      <c r="C64" s="38">
        <v>4.8710601719197708E-2</v>
      </c>
    </row>
    <row r="65" spans="1:3" ht="15">
      <c r="A65" s="9" t="s">
        <v>133</v>
      </c>
      <c r="B65" s="37">
        <v>15</v>
      </c>
      <c r="C65" s="38">
        <v>4.2979942693409739E-2</v>
      </c>
    </row>
    <row r="66" spans="1:3" ht="15">
      <c r="A66" s="9" t="s">
        <v>106</v>
      </c>
      <c r="B66" s="37">
        <v>20</v>
      </c>
      <c r="C66" s="38">
        <v>5.730659025787966E-2</v>
      </c>
    </row>
    <row r="67" spans="1:3" ht="15">
      <c r="A67" s="9" t="s">
        <v>199</v>
      </c>
      <c r="B67" s="37">
        <v>5</v>
      </c>
      <c r="C67" s="38">
        <v>1.4326647564469915E-2</v>
      </c>
    </row>
    <row r="68" spans="1:3" ht="15">
      <c r="A68" s="9" t="s">
        <v>166</v>
      </c>
      <c r="B68" s="37">
        <v>12</v>
      </c>
      <c r="C68" s="38">
        <v>3.4383954154727794E-2</v>
      </c>
    </row>
    <row r="69" spans="1:3" ht="15">
      <c r="A69" s="9" t="s">
        <v>95</v>
      </c>
      <c r="B69" s="37">
        <v>42</v>
      </c>
      <c r="C69" s="38">
        <v>0.12034383954154727</v>
      </c>
    </row>
    <row r="70" spans="1:3" ht="15">
      <c r="A70" s="9" t="s">
        <v>103</v>
      </c>
      <c r="B70" s="37">
        <v>1</v>
      </c>
      <c r="C70" s="38">
        <v>2.8653295128939827E-3</v>
      </c>
    </row>
    <row r="71" spans="1:3" ht="15">
      <c r="A71" s="9" t="s">
        <v>414</v>
      </c>
      <c r="B71" s="37">
        <v>1</v>
      </c>
      <c r="C71" s="38">
        <v>2.8653295128939827E-3</v>
      </c>
    </row>
    <row r="72" spans="1:3" ht="15">
      <c r="A72" s="9" t="s">
        <v>279</v>
      </c>
      <c r="B72" s="37">
        <v>1</v>
      </c>
      <c r="C72" s="38">
        <v>2.8653295128939827E-3</v>
      </c>
    </row>
    <row r="73" spans="1:3" ht="15">
      <c r="A73" s="9" t="s">
        <v>262</v>
      </c>
      <c r="B73" s="37">
        <v>14</v>
      </c>
      <c r="C73" s="38">
        <v>4.0114613180515762E-2</v>
      </c>
    </row>
    <row r="74" spans="1:3" ht="15">
      <c r="A74" s="9" t="s">
        <v>61</v>
      </c>
      <c r="B74" s="37">
        <v>11</v>
      </c>
      <c r="C74" s="38">
        <v>3.151862464183381E-2</v>
      </c>
    </row>
    <row r="75" spans="1:3" ht="15">
      <c r="A75" s="9" t="s">
        <v>109</v>
      </c>
      <c r="B75" s="37">
        <v>14</v>
      </c>
      <c r="C75" s="38">
        <v>4.0114613180515762E-2</v>
      </c>
    </row>
    <row r="76" spans="1:3" ht="15">
      <c r="A76" s="9" t="s">
        <v>217</v>
      </c>
      <c r="B76" s="37">
        <v>3</v>
      </c>
      <c r="C76" s="38">
        <v>8.5959885386819486E-3</v>
      </c>
    </row>
    <row r="77" spans="1:3" ht="15">
      <c r="A77" s="9" t="s">
        <v>41</v>
      </c>
      <c r="B77" s="37">
        <v>34</v>
      </c>
      <c r="C77" s="38">
        <v>9.7421203438395415E-2</v>
      </c>
    </row>
    <row r="78" spans="1:3" ht="15">
      <c r="A78" s="9" t="s">
        <v>97</v>
      </c>
      <c r="B78" s="37">
        <v>7</v>
      </c>
      <c r="C78" s="38">
        <v>2.0057306590257881E-2</v>
      </c>
    </row>
    <row r="79" spans="1:3" ht="15">
      <c r="A79" s="9" t="s">
        <v>328</v>
      </c>
      <c r="B79" s="37">
        <v>2</v>
      </c>
      <c r="C79" s="38">
        <v>5.7306590257879654E-3</v>
      </c>
    </row>
    <row r="80" spans="1:3" ht="15">
      <c r="A80" s="9" t="s">
        <v>339</v>
      </c>
      <c r="B80" s="37">
        <v>4</v>
      </c>
      <c r="C80" s="38">
        <v>1.1461318051575931E-2</v>
      </c>
    </row>
    <row r="81" spans="1:3" ht="15">
      <c r="A81" s="9" t="s">
        <v>348</v>
      </c>
      <c r="B81" s="37">
        <v>7</v>
      </c>
      <c r="C81" s="38">
        <v>2.0057306590257881E-2</v>
      </c>
    </row>
    <row r="82" spans="1:3" ht="15">
      <c r="A82" s="9" t="s">
        <v>56</v>
      </c>
      <c r="B82" s="37">
        <v>8</v>
      </c>
      <c r="C82" s="38">
        <v>2.2922636103151862E-2</v>
      </c>
    </row>
    <row r="83" spans="1:3" ht="15">
      <c r="A83" s="9" t="s">
        <v>395</v>
      </c>
      <c r="B83" s="37">
        <v>1</v>
      </c>
      <c r="C83" s="38">
        <v>2.8653295128939827E-3</v>
      </c>
    </row>
    <row r="84" spans="1:3" ht="15">
      <c r="A84" s="9" t="s">
        <v>186</v>
      </c>
      <c r="B84" s="37">
        <v>4</v>
      </c>
      <c r="C84" s="38">
        <v>1.1461318051575931E-2</v>
      </c>
    </row>
    <row r="85" spans="1:3" ht="15">
      <c r="A85" s="9" t="s">
        <v>247</v>
      </c>
      <c r="B85" s="37">
        <v>1</v>
      </c>
      <c r="C85" s="38">
        <v>2.8653295128939827E-3</v>
      </c>
    </row>
    <row r="86" spans="1:3" ht="15">
      <c r="A86" s="9" t="s">
        <v>563</v>
      </c>
      <c r="B86" s="37">
        <v>1</v>
      </c>
      <c r="C86" s="38">
        <v>2.8653295128939827E-3</v>
      </c>
    </row>
    <row r="87" spans="1:3" ht="15">
      <c r="A87" s="9" t="s">
        <v>171</v>
      </c>
      <c r="B87" s="37">
        <v>1</v>
      </c>
      <c r="C87" s="38">
        <v>2.8653295128939827E-3</v>
      </c>
    </row>
    <row r="88" spans="1:3" ht="15">
      <c r="A88" s="9" t="s">
        <v>163</v>
      </c>
      <c r="B88" s="37">
        <v>1</v>
      </c>
      <c r="C88" s="38">
        <v>2.8653295128939827E-3</v>
      </c>
    </row>
    <row r="89" spans="1:3" ht="15">
      <c r="A89" s="9" t="s">
        <v>502</v>
      </c>
      <c r="B89" s="37">
        <v>1</v>
      </c>
      <c r="C89" s="38">
        <v>2.8653295128939827E-3</v>
      </c>
    </row>
    <row r="90" spans="1:3" ht="15">
      <c r="A90" s="9" t="s">
        <v>614</v>
      </c>
      <c r="B90" s="37">
        <v>349</v>
      </c>
      <c r="C90" s="3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C40A-8399-452D-A2AF-FABE18062CDD}">
  <dimension ref="A1:I324"/>
  <sheetViews>
    <sheetView topLeftCell="C1" workbookViewId="0">
      <selection activeCell="A2" sqref="A2"/>
    </sheetView>
  </sheetViews>
  <sheetFormatPr defaultRowHeight="15"/>
  <cols>
    <col min="1" max="1" width="27.28515625" style="42" customWidth="1"/>
    <col min="2" max="2" width="27" style="42" customWidth="1"/>
    <col min="3" max="3" width="29.28515625" style="42" customWidth="1"/>
    <col min="4" max="4" width="28.85546875" style="42" customWidth="1"/>
    <col min="5" max="5" width="36.5703125" style="61" bestFit="1" customWidth="1"/>
    <col min="6" max="6" width="30.85546875" style="42" customWidth="1"/>
    <col min="7" max="7" width="16.7109375" style="42" customWidth="1"/>
    <col min="8" max="8" width="11.7109375" style="42" customWidth="1"/>
    <col min="9" max="9" width="38.42578125" style="61" customWidth="1"/>
    <col min="10" max="16384" width="9.140625" style="42"/>
  </cols>
  <sheetData>
    <row r="1" spans="1:9" ht="36">
      <c r="A1" s="96" t="s">
        <v>642</v>
      </c>
    </row>
    <row r="2" spans="1:9" ht="125.25">
      <c r="A2" s="97" t="s">
        <v>647</v>
      </c>
    </row>
    <row r="3" spans="1:9">
      <c r="A3" s="41" t="s">
        <v>14</v>
      </c>
      <c r="B3" s="42" t="s">
        <v>644</v>
      </c>
      <c r="C3" s="42" t="s">
        <v>648</v>
      </c>
      <c r="D3" s="42" t="s">
        <v>649</v>
      </c>
      <c r="E3" s="42"/>
      <c r="F3" s="41" t="s">
        <v>25</v>
      </c>
      <c r="G3" s="42" t="s">
        <v>644</v>
      </c>
      <c r="H3" s="42" t="s">
        <v>650</v>
      </c>
      <c r="I3" s="61" t="s">
        <v>651</v>
      </c>
    </row>
    <row r="4" spans="1:9">
      <c r="A4" s="61">
        <v>0</v>
      </c>
      <c r="B4" s="37">
        <v>89</v>
      </c>
      <c r="C4" s="61">
        <v>0</v>
      </c>
      <c r="D4" s="61">
        <v>0</v>
      </c>
      <c r="E4" s="42"/>
      <c r="F4" s="62">
        <v>0</v>
      </c>
      <c r="G4" s="62">
        <v>0</v>
      </c>
      <c r="H4" s="62">
        <v>0</v>
      </c>
      <c r="I4" s="61">
        <v>0</v>
      </c>
    </row>
    <row r="5" spans="1:9">
      <c r="A5" s="61">
        <v>0.25</v>
      </c>
      <c r="B5" s="37">
        <v>1</v>
      </c>
      <c r="C5" s="61">
        <v>0.25</v>
      </c>
      <c r="D5" s="61">
        <v>0</v>
      </c>
      <c r="E5" s="42"/>
      <c r="F5" s="62">
        <v>1.5</v>
      </c>
      <c r="G5" s="62">
        <v>1.5</v>
      </c>
      <c r="H5" s="62">
        <v>1.5</v>
      </c>
      <c r="I5" s="61">
        <v>0</v>
      </c>
    </row>
    <row r="6" spans="1:9">
      <c r="A6" s="61">
        <v>0.5</v>
      </c>
      <c r="B6" s="37">
        <v>4</v>
      </c>
      <c r="C6" s="61">
        <v>0.5</v>
      </c>
      <c r="D6" s="61">
        <v>0</v>
      </c>
      <c r="E6" s="42"/>
      <c r="F6" s="62">
        <v>1.99</v>
      </c>
      <c r="G6" s="62">
        <v>1.99</v>
      </c>
      <c r="H6" s="62">
        <v>1.99</v>
      </c>
      <c r="I6" s="61">
        <v>0</v>
      </c>
    </row>
    <row r="7" spans="1:9">
      <c r="A7" s="61">
        <v>1</v>
      </c>
      <c r="B7" s="37">
        <v>49</v>
      </c>
      <c r="C7" s="61">
        <v>1</v>
      </c>
      <c r="D7" s="61">
        <v>0</v>
      </c>
      <c r="E7" s="42"/>
      <c r="F7" s="62">
        <v>2.75</v>
      </c>
      <c r="G7" s="62">
        <v>2.75</v>
      </c>
      <c r="H7" s="62">
        <v>2.75</v>
      </c>
      <c r="I7" s="61">
        <v>0</v>
      </c>
    </row>
    <row r="8" spans="1:9">
      <c r="A8" s="61">
        <v>1.3</v>
      </c>
      <c r="B8" s="37">
        <v>2</v>
      </c>
      <c r="C8" s="61">
        <v>1.3</v>
      </c>
      <c r="D8" s="61">
        <v>0</v>
      </c>
      <c r="E8" s="42"/>
      <c r="F8" s="62">
        <v>4.99</v>
      </c>
      <c r="G8" s="62">
        <v>4.99</v>
      </c>
      <c r="H8" s="62">
        <v>4.99</v>
      </c>
      <c r="I8" s="61">
        <v>0</v>
      </c>
    </row>
    <row r="9" spans="1:9">
      <c r="A9" s="61">
        <v>1.5</v>
      </c>
      <c r="B9" s="37">
        <v>12</v>
      </c>
      <c r="C9" s="61">
        <v>1.5</v>
      </c>
      <c r="D9" s="61">
        <v>0</v>
      </c>
      <c r="E9" s="42"/>
      <c r="F9" s="62">
        <v>5</v>
      </c>
      <c r="G9" s="62">
        <v>40</v>
      </c>
      <c r="H9" s="62">
        <v>5</v>
      </c>
      <c r="I9" s="61">
        <v>0</v>
      </c>
    </row>
    <row r="10" spans="1:9">
      <c r="A10" s="61">
        <v>2</v>
      </c>
      <c r="B10" s="37">
        <v>29</v>
      </c>
      <c r="C10" s="61">
        <v>2</v>
      </c>
      <c r="D10" s="61">
        <v>0</v>
      </c>
      <c r="E10" s="42"/>
      <c r="F10" s="62">
        <v>5.99</v>
      </c>
      <c r="G10" s="62">
        <v>5.99</v>
      </c>
      <c r="H10" s="62">
        <v>5.99</v>
      </c>
      <c r="I10" s="61">
        <v>0</v>
      </c>
    </row>
    <row r="11" spans="1:9">
      <c r="A11" s="61">
        <v>2.5</v>
      </c>
      <c r="B11" s="37">
        <v>6</v>
      </c>
      <c r="C11" s="61">
        <v>2.5</v>
      </c>
      <c r="D11" s="61">
        <v>0</v>
      </c>
      <c r="E11" s="42"/>
      <c r="F11" s="62">
        <v>6.72</v>
      </c>
      <c r="G11" s="62">
        <v>6.72</v>
      </c>
      <c r="H11" s="62">
        <v>6.72</v>
      </c>
      <c r="I11" s="61">
        <v>0</v>
      </c>
    </row>
    <row r="12" spans="1:9">
      <c r="A12" s="61">
        <v>2.75</v>
      </c>
      <c r="B12" s="37">
        <v>2</v>
      </c>
      <c r="C12" s="61">
        <v>2.75</v>
      </c>
      <c r="D12" s="61">
        <v>0</v>
      </c>
      <c r="E12" s="42"/>
      <c r="F12" s="62">
        <v>8.99</v>
      </c>
      <c r="G12" s="62">
        <v>17.98</v>
      </c>
      <c r="H12" s="62">
        <v>8.99</v>
      </c>
      <c r="I12" s="61">
        <v>0</v>
      </c>
    </row>
    <row r="13" spans="1:9">
      <c r="A13" s="61">
        <v>3</v>
      </c>
      <c r="B13" s="37">
        <v>22</v>
      </c>
      <c r="C13" s="61">
        <v>3</v>
      </c>
      <c r="D13" s="61">
        <v>0</v>
      </c>
      <c r="E13" s="42"/>
      <c r="F13" s="62">
        <v>9.4</v>
      </c>
      <c r="G13" s="62">
        <v>9.4</v>
      </c>
      <c r="H13" s="62">
        <v>9.4</v>
      </c>
      <c r="I13" s="61">
        <v>0</v>
      </c>
    </row>
    <row r="14" spans="1:9">
      <c r="A14" s="61">
        <v>3.5</v>
      </c>
      <c r="B14" s="37">
        <v>3</v>
      </c>
      <c r="C14" s="61">
        <v>3.5</v>
      </c>
      <c r="D14" s="61">
        <v>0</v>
      </c>
      <c r="E14" s="42"/>
      <c r="F14" s="62">
        <v>9.5</v>
      </c>
      <c r="G14" s="62">
        <v>9.5</v>
      </c>
      <c r="H14" s="62">
        <v>9.5</v>
      </c>
      <c r="I14" s="61">
        <v>0</v>
      </c>
    </row>
    <row r="15" spans="1:9">
      <c r="A15" s="61">
        <v>3.75</v>
      </c>
      <c r="B15" s="37">
        <v>2</v>
      </c>
      <c r="C15" s="61">
        <v>3.75</v>
      </c>
      <c r="D15" s="61">
        <v>0</v>
      </c>
      <c r="E15" s="42"/>
      <c r="F15" s="62">
        <v>9.8000000000000007</v>
      </c>
      <c r="G15" s="62">
        <v>9.8000000000000007</v>
      </c>
      <c r="H15" s="62">
        <v>9.8000000000000007</v>
      </c>
      <c r="I15" s="61">
        <v>0</v>
      </c>
    </row>
    <row r="16" spans="1:9">
      <c r="A16" s="61">
        <v>4</v>
      </c>
      <c r="B16" s="37">
        <v>12</v>
      </c>
      <c r="C16" s="61">
        <v>4</v>
      </c>
      <c r="D16" s="61">
        <v>0</v>
      </c>
      <c r="E16" s="42"/>
      <c r="F16" s="62">
        <v>9.99</v>
      </c>
      <c r="G16" s="62">
        <v>9.99</v>
      </c>
      <c r="H16" s="62">
        <v>9.99</v>
      </c>
      <c r="I16" s="61">
        <v>0</v>
      </c>
    </row>
    <row r="17" spans="1:9">
      <c r="A17" s="61">
        <v>4.5</v>
      </c>
      <c r="B17" s="37">
        <v>4</v>
      </c>
      <c r="C17" s="61">
        <v>4.5</v>
      </c>
      <c r="D17" s="61">
        <v>0</v>
      </c>
      <c r="E17" s="42"/>
      <c r="F17" s="62">
        <v>10</v>
      </c>
      <c r="G17" s="62">
        <v>300</v>
      </c>
      <c r="H17" s="62">
        <v>10</v>
      </c>
      <c r="I17" s="61">
        <v>0</v>
      </c>
    </row>
    <row r="18" spans="1:9">
      <c r="A18" s="61">
        <v>4.75</v>
      </c>
      <c r="B18" s="37">
        <v>2</v>
      </c>
      <c r="C18" s="61">
        <v>4.75</v>
      </c>
      <c r="D18" s="61">
        <v>0</v>
      </c>
      <c r="E18" s="42"/>
      <c r="F18" s="62">
        <v>10.199999999999999</v>
      </c>
      <c r="G18" s="62">
        <v>10.199999999999999</v>
      </c>
      <c r="H18" s="62">
        <v>10.199999999999999</v>
      </c>
      <c r="I18" s="61">
        <v>0</v>
      </c>
    </row>
    <row r="19" spans="1:9">
      <c r="A19" s="61">
        <v>5</v>
      </c>
      <c r="B19" s="37">
        <v>11</v>
      </c>
      <c r="C19" s="61">
        <v>5</v>
      </c>
      <c r="D19" s="61">
        <v>0</v>
      </c>
      <c r="E19" s="42"/>
      <c r="F19" s="62">
        <v>10.5</v>
      </c>
      <c r="G19" s="62">
        <v>10.5</v>
      </c>
      <c r="H19" s="62">
        <v>10.5</v>
      </c>
      <c r="I19" s="61">
        <v>0</v>
      </c>
    </row>
    <row r="20" spans="1:9">
      <c r="A20" s="61">
        <v>5.5</v>
      </c>
      <c r="B20" s="37">
        <v>3</v>
      </c>
      <c r="C20" s="61">
        <v>5.5</v>
      </c>
      <c r="D20" s="61">
        <v>0</v>
      </c>
      <c r="E20" s="42"/>
      <c r="F20" s="62">
        <v>10.6</v>
      </c>
      <c r="G20" s="62">
        <v>10.6</v>
      </c>
      <c r="H20" s="62">
        <v>10.6</v>
      </c>
      <c r="I20" s="61">
        <v>0</v>
      </c>
    </row>
    <row r="21" spans="1:9">
      <c r="A21" s="61">
        <v>5.75</v>
      </c>
      <c r="B21" s="37">
        <v>4</v>
      </c>
      <c r="C21" s="61">
        <v>5.75</v>
      </c>
      <c r="D21" s="61">
        <v>0</v>
      </c>
      <c r="E21" s="42"/>
      <c r="F21" s="62">
        <v>10.7</v>
      </c>
      <c r="G21" s="62">
        <v>10.7</v>
      </c>
      <c r="H21" s="62">
        <v>10.7</v>
      </c>
      <c r="I21" s="61">
        <v>0</v>
      </c>
    </row>
    <row r="22" spans="1:9">
      <c r="A22" s="61">
        <v>6</v>
      </c>
      <c r="B22" s="37">
        <v>10</v>
      </c>
      <c r="C22" s="61">
        <v>6</v>
      </c>
      <c r="D22" s="61">
        <v>0</v>
      </c>
      <c r="E22" s="42"/>
      <c r="F22" s="62">
        <v>10.8</v>
      </c>
      <c r="G22" s="62">
        <v>10.8</v>
      </c>
      <c r="H22" s="62">
        <v>10.8</v>
      </c>
      <c r="I22" s="61">
        <v>0</v>
      </c>
    </row>
    <row r="23" spans="1:9">
      <c r="A23" s="61">
        <v>6.25</v>
      </c>
      <c r="B23" s="37">
        <v>1</v>
      </c>
      <c r="C23" s="61">
        <v>6.25</v>
      </c>
      <c r="D23" s="61">
        <v>0</v>
      </c>
      <c r="E23" s="42"/>
      <c r="F23" s="62">
        <v>10.9</v>
      </c>
      <c r="G23" s="62">
        <v>10.9</v>
      </c>
      <c r="H23" s="62">
        <v>10.9</v>
      </c>
      <c r="I23" s="61">
        <v>0</v>
      </c>
    </row>
    <row r="24" spans="1:9">
      <c r="A24" s="61">
        <v>6.5</v>
      </c>
      <c r="B24" s="37">
        <v>1</v>
      </c>
      <c r="C24" s="61">
        <v>6.5</v>
      </c>
      <c r="D24" s="61">
        <v>0</v>
      </c>
      <c r="E24" s="42"/>
      <c r="F24" s="62">
        <v>10.99</v>
      </c>
      <c r="G24" s="62">
        <v>10.99</v>
      </c>
      <c r="H24" s="62">
        <v>10.99</v>
      </c>
      <c r="I24" s="61">
        <v>0</v>
      </c>
    </row>
    <row r="25" spans="1:9">
      <c r="A25" s="61">
        <v>6.7</v>
      </c>
      <c r="B25" s="37">
        <v>1</v>
      </c>
      <c r="C25" s="61">
        <v>6.7</v>
      </c>
      <c r="D25" s="61">
        <v>0</v>
      </c>
      <c r="E25" s="42"/>
      <c r="F25" s="62">
        <v>12</v>
      </c>
      <c r="G25" s="62">
        <v>24</v>
      </c>
      <c r="H25" s="62">
        <v>12</v>
      </c>
      <c r="I25" s="61">
        <v>0</v>
      </c>
    </row>
    <row r="26" spans="1:9">
      <c r="A26" s="61">
        <v>6.75</v>
      </c>
      <c r="B26" s="37">
        <v>2</v>
      </c>
      <c r="C26" s="61">
        <v>6.75</v>
      </c>
      <c r="D26" s="61">
        <v>0</v>
      </c>
      <c r="E26" s="42"/>
      <c r="F26" s="62">
        <v>12.5</v>
      </c>
      <c r="G26" s="62">
        <v>12.5</v>
      </c>
      <c r="H26" s="62">
        <v>12.5</v>
      </c>
      <c r="I26" s="61">
        <v>0</v>
      </c>
    </row>
    <row r="27" spans="1:9">
      <c r="A27" s="61">
        <v>7</v>
      </c>
      <c r="B27" s="37">
        <v>7</v>
      </c>
      <c r="C27" s="61">
        <v>7</v>
      </c>
      <c r="D27" s="61">
        <v>0</v>
      </c>
      <c r="E27" s="42"/>
      <c r="F27" s="62">
        <v>12.9</v>
      </c>
      <c r="G27" s="62">
        <v>12.9</v>
      </c>
      <c r="H27" s="62">
        <v>12.9</v>
      </c>
      <c r="I27" s="61">
        <v>0</v>
      </c>
    </row>
    <row r="28" spans="1:9">
      <c r="A28" s="61">
        <v>7.5</v>
      </c>
      <c r="B28" s="37">
        <v>4</v>
      </c>
      <c r="C28" s="61">
        <v>7.5</v>
      </c>
      <c r="D28" s="61">
        <v>0</v>
      </c>
      <c r="E28" s="42"/>
      <c r="F28" s="62">
        <v>13.4</v>
      </c>
      <c r="G28" s="62">
        <v>13.4</v>
      </c>
      <c r="H28" s="62">
        <v>13.4</v>
      </c>
      <c r="I28" s="61">
        <v>0</v>
      </c>
    </row>
    <row r="29" spans="1:9">
      <c r="A29" s="61">
        <v>8</v>
      </c>
      <c r="B29" s="37">
        <v>2</v>
      </c>
      <c r="C29" s="61">
        <v>8</v>
      </c>
      <c r="D29" s="61">
        <v>0</v>
      </c>
      <c r="E29" s="42"/>
      <c r="F29" s="62">
        <v>13.99</v>
      </c>
      <c r="G29" s="62">
        <v>27.98</v>
      </c>
      <c r="H29" s="62">
        <v>13.99</v>
      </c>
      <c r="I29" s="61">
        <v>0</v>
      </c>
    </row>
    <row r="30" spans="1:9">
      <c r="A30" s="61">
        <v>8.5</v>
      </c>
      <c r="B30" s="37">
        <v>2</v>
      </c>
      <c r="C30" s="61">
        <v>8.5</v>
      </c>
      <c r="D30" s="61">
        <v>0</v>
      </c>
      <c r="E30" s="42"/>
      <c r="F30" s="62">
        <v>14.4</v>
      </c>
      <c r="G30" s="62">
        <v>14.4</v>
      </c>
      <c r="H30" s="62">
        <v>14.4</v>
      </c>
      <c r="I30" s="61">
        <v>0</v>
      </c>
    </row>
    <row r="31" spans="1:9">
      <c r="A31" s="61">
        <v>8.75</v>
      </c>
      <c r="B31" s="37">
        <v>2</v>
      </c>
      <c r="C31" s="61">
        <v>8.75</v>
      </c>
      <c r="D31" s="61">
        <v>0</v>
      </c>
      <c r="E31" s="42"/>
      <c r="F31" s="62">
        <v>14.6</v>
      </c>
      <c r="G31" s="62">
        <v>14.6</v>
      </c>
      <c r="H31" s="62">
        <v>14.6</v>
      </c>
      <c r="I31" s="61">
        <v>0</v>
      </c>
    </row>
    <row r="32" spans="1:9">
      <c r="A32" s="61">
        <v>9</v>
      </c>
      <c r="B32" s="37">
        <v>1</v>
      </c>
      <c r="C32" s="61">
        <v>9</v>
      </c>
      <c r="D32" s="61">
        <v>0</v>
      </c>
      <c r="E32" s="42"/>
      <c r="F32" s="62">
        <v>14.99</v>
      </c>
      <c r="G32" s="62">
        <v>74.95</v>
      </c>
      <c r="H32" s="62">
        <v>14.99</v>
      </c>
      <c r="I32" s="61">
        <v>0</v>
      </c>
    </row>
    <row r="33" spans="1:9">
      <c r="A33" s="61">
        <v>10</v>
      </c>
      <c r="B33" s="37">
        <v>7</v>
      </c>
      <c r="C33" s="61">
        <v>10</v>
      </c>
      <c r="D33" s="61">
        <v>0</v>
      </c>
      <c r="E33" s="42"/>
      <c r="F33" s="62">
        <v>15</v>
      </c>
      <c r="G33" s="62">
        <v>210</v>
      </c>
      <c r="H33" s="62">
        <v>15</v>
      </c>
      <c r="I33" s="61">
        <v>0</v>
      </c>
    </row>
    <row r="34" spans="1:9">
      <c r="A34" s="61">
        <v>10.5</v>
      </c>
      <c r="B34" s="37">
        <v>4</v>
      </c>
      <c r="C34" s="61">
        <v>10.5</v>
      </c>
      <c r="D34" s="61">
        <v>0</v>
      </c>
      <c r="E34" s="42"/>
      <c r="F34" s="62">
        <v>15.45</v>
      </c>
      <c r="G34" s="62">
        <v>15.45</v>
      </c>
      <c r="H34" s="62">
        <v>15.45</v>
      </c>
      <c r="I34" s="61">
        <v>0</v>
      </c>
    </row>
    <row r="35" spans="1:9">
      <c r="A35" s="61">
        <v>10.75</v>
      </c>
      <c r="B35" s="37">
        <v>3</v>
      </c>
      <c r="C35" s="61">
        <v>10.75</v>
      </c>
      <c r="D35" s="61">
        <v>0</v>
      </c>
      <c r="E35" s="42"/>
      <c r="F35" s="62">
        <v>15.6</v>
      </c>
      <c r="G35" s="62">
        <v>31.2</v>
      </c>
      <c r="H35" s="62">
        <v>15.6</v>
      </c>
      <c r="I35" s="61">
        <v>0</v>
      </c>
    </row>
    <row r="36" spans="1:9">
      <c r="A36" s="61">
        <v>11</v>
      </c>
      <c r="B36" s="37">
        <v>1</v>
      </c>
      <c r="C36" s="61">
        <v>11</v>
      </c>
      <c r="D36" s="61">
        <v>0</v>
      </c>
      <c r="E36" s="42"/>
      <c r="F36" s="62">
        <v>15.7</v>
      </c>
      <c r="G36" s="62">
        <v>15.7</v>
      </c>
      <c r="H36" s="62">
        <v>15.7</v>
      </c>
      <c r="I36" s="61">
        <v>0</v>
      </c>
    </row>
    <row r="37" spans="1:9">
      <c r="A37" s="61">
        <v>11.75</v>
      </c>
      <c r="B37" s="37">
        <v>1</v>
      </c>
      <c r="C37" s="61">
        <v>11.75</v>
      </c>
      <c r="D37" s="61">
        <v>0</v>
      </c>
      <c r="E37" s="42"/>
      <c r="F37" s="62">
        <v>15.99</v>
      </c>
      <c r="G37" s="62">
        <v>47.97</v>
      </c>
      <c r="H37" s="62">
        <v>15.99</v>
      </c>
      <c r="I37" s="61">
        <v>0</v>
      </c>
    </row>
    <row r="38" spans="1:9">
      <c r="A38" s="61">
        <v>12</v>
      </c>
      <c r="B38" s="37">
        <v>2</v>
      </c>
      <c r="C38" s="61">
        <v>12</v>
      </c>
      <c r="D38" s="61">
        <v>0</v>
      </c>
      <c r="E38" s="42"/>
      <c r="F38" s="62">
        <v>17.989999999999998</v>
      </c>
      <c r="G38" s="62">
        <v>17.989999999999998</v>
      </c>
      <c r="H38" s="62">
        <v>17.989999999999998</v>
      </c>
      <c r="I38" s="61">
        <v>0</v>
      </c>
    </row>
    <row r="39" spans="1:9">
      <c r="A39" s="61">
        <v>12.5</v>
      </c>
      <c r="B39" s="37">
        <v>1</v>
      </c>
      <c r="C39" s="61">
        <v>12.5</v>
      </c>
      <c r="D39" s="61">
        <v>0</v>
      </c>
      <c r="E39" s="42"/>
      <c r="F39" s="62">
        <v>18</v>
      </c>
      <c r="G39" s="62">
        <v>18</v>
      </c>
      <c r="H39" s="62">
        <v>18</v>
      </c>
      <c r="I39" s="61">
        <v>0</v>
      </c>
    </row>
    <row r="40" spans="1:9">
      <c r="A40" s="61">
        <v>14</v>
      </c>
      <c r="B40" s="37">
        <v>2</v>
      </c>
      <c r="C40" s="61">
        <v>14</v>
      </c>
      <c r="D40" s="61">
        <v>0</v>
      </c>
      <c r="E40" s="42"/>
      <c r="F40" s="62">
        <v>18.989999999999998</v>
      </c>
      <c r="G40" s="62">
        <v>18.989999999999998</v>
      </c>
      <c r="H40" s="62">
        <v>18.989999999999998</v>
      </c>
      <c r="I40" s="61">
        <v>0</v>
      </c>
    </row>
    <row r="41" spans="1:9">
      <c r="A41" s="61">
        <v>14.75</v>
      </c>
      <c r="B41" s="37">
        <v>1</v>
      </c>
      <c r="C41" s="61">
        <v>14.75</v>
      </c>
      <c r="D41" s="61">
        <v>0</v>
      </c>
      <c r="E41" s="42"/>
      <c r="F41" s="62">
        <v>19.8</v>
      </c>
      <c r="G41" s="62">
        <v>19.8</v>
      </c>
      <c r="H41" s="62">
        <v>19.8</v>
      </c>
      <c r="I41" s="61">
        <v>0</v>
      </c>
    </row>
    <row r="42" spans="1:9">
      <c r="A42" s="61">
        <v>15</v>
      </c>
      <c r="B42" s="37">
        <v>3</v>
      </c>
      <c r="C42" s="61">
        <v>15</v>
      </c>
      <c r="D42" s="61">
        <v>0</v>
      </c>
      <c r="E42" s="42"/>
      <c r="F42" s="62">
        <v>19.989999999999998</v>
      </c>
      <c r="G42" s="62">
        <v>59.97</v>
      </c>
      <c r="H42" s="62">
        <v>19.989999999999998</v>
      </c>
      <c r="I42" s="61">
        <v>0</v>
      </c>
    </row>
    <row r="43" spans="1:9">
      <c r="A43" s="61">
        <v>15.5</v>
      </c>
      <c r="B43" s="37">
        <v>3</v>
      </c>
      <c r="C43" s="61">
        <v>15.5</v>
      </c>
      <c r="D43" s="61">
        <v>0</v>
      </c>
      <c r="E43" s="42"/>
      <c r="F43" s="62">
        <v>20</v>
      </c>
      <c r="G43" s="62">
        <v>400</v>
      </c>
      <c r="H43" s="62">
        <v>20</v>
      </c>
      <c r="I43" s="61">
        <v>0</v>
      </c>
    </row>
    <row r="44" spans="1:9">
      <c r="A44" s="61">
        <v>16</v>
      </c>
      <c r="B44" s="37">
        <v>1</v>
      </c>
      <c r="C44" s="61">
        <v>16</v>
      </c>
      <c r="D44" s="61">
        <v>0</v>
      </c>
      <c r="E44" s="42"/>
      <c r="F44" s="62">
        <v>20.5</v>
      </c>
      <c r="G44" s="62">
        <v>82</v>
      </c>
      <c r="H44" s="62">
        <v>20.5</v>
      </c>
      <c r="I44" s="61">
        <v>0</v>
      </c>
    </row>
    <row r="45" spans="1:9">
      <c r="A45" s="61">
        <v>18</v>
      </c>
      <c r="B45" s="37">
        <v>2</v>
      </c>
      <c r="C45" s="61">
        <v>18</v>
      </c>
      <c r="D45" s="61">
        <v>0</v>
      </c>
      <c r="E45" s="42"/>
      <c r="F45" s="62">
        <v>20.6</v>
      </c>
      <c r="G45" s="62">
        <v>20.6</v>
      </c>
      <c r="H45" s="62">
        <v>20.6</v>
      </c>
      <c r="I45" s="61">
        <v>0</v>
      </c>
    </row>
    <row r="46" spans="1:9">
      <c r="A46" s="61">
        <v>18.5</v>
      </c>
      <c r="B46" s="37">
        <v>2</v>
      </c>
      <c r="C46" s="61">
        <v>18.5</v>
      </c>
      <c r="D46" s="61">
        <v>0</v>
      </c>
      <c r="E46" s="42"/>
      <c r="F46" s="62">
        <v>20.99</v>
      </c>
      <c r="G46" s="62">
        <v>41.98</v>
      </c>
      <c r="H46" s="62">
        <v>20.99</v>
      </c>
      <c r="I46" s="61">
        <v>0</v>
      </c>
    </row>
    <row r="47" spans="1:9">
      <c r="A47" s="61">
        <v>20</v>
      </c>
      <c r="B47" s="37">
        <v>4</v>
      </c>
      <c r="C47" s="61">
        <v>20</v>
      </c>
      <c r="D47" s="61">
        <v>0</v>
      </c>
      <c r="E47" s="42"/>
      <c r="F47" s="62">
        <v>22.5</v>
      </c>
      <c r="G47" s="62">
        <v>22.5</v>
      </c>
      <c r="H47" s="62">
        <v>22.5</v>
      </c>
      <c r="I47" s="61">
        <v>0</v>
      </c>
    </row>
    <row r="48" spans="1:9">
      <c r="A48" s="61">
        <v>20.399999999999999</v>
      </c>
      <c r="B48" s="37">
        <v>1</v>
      </c>
      <c r="C48" s="61">
        <v>20.399999999999999</v>
      </c>
      <c r="D48" s="61">
        <v>0</v>
      </c>
      <c r="E48" s="42"/>
      <c r="F48" s="62">
        <v>22.6</v>
      </c>
      <c r="G48" s="62">
        <v>22.6</v>
      </c>
      <c r="H48" s="62">
        <v>22.6</v>
      </c>
      <c r="I48" s="61">
        <v>0</v>
      </c>
    </row>
    <row r="49" spans="1:9">
      <c r="A49" s="61">
        <v>20.5</v>
      </c>
      <c r="B49" s="37">
        <v>2</v>
      </c>
      <c r="C49" s="61">
        <v>20.5</v>
      </c>
      <c r="D49" s="61">
        <v>0</v>
      </c>
      <c r="E49" s="42"/>
      <c r="F49" s="62">
        <v>24.99</v>
      </c>
      <c r="G49" s="62">
        <v>24.99</v>
      </c>
      <c r="H49" s="62">
        <v>24.99</v>
      </c>
      <c r="I49" s="61">
        <v>0</v>
      </c>
    </row>
    <row r="50" spans="1:9">
      <c r="A50" s="61">
        <v>21</v>
      </c>
      <c r="B50" s="37">
        <v>1</v>
      </c>
      <c r="C50" s="61">
        <v>21</v>
      </c>
      <c r="D50" s="61">
        <v>0</v>
      </c>
      <c r="E50" s="42"/>
      <c r="F50" s="62">
        <v>25</v>
      </c>
      <c r="G50" s="62">
        <v>450</v>
      </c>
      <c r="H50" s="62">
        <v>25</v>
      </c>
      <c r="I50" s="61">
        <v>0</v>
      </c>
    </row>
    <row r="51" spans="1:9">
      <c r="A51" s="61">
        <v>24</v>
      </c>
      <c r="B51" s="37">
        <v>2</v>
      </c>
      <c r="C51" s="61">
        <v>24</v>
      </c>
      <c r="D51" s="61">
        <v>0</v>
      </c>
      <c r="E51" s="42"/>
      <c r="F51" s="62">
        <v>25.8</v>
      </c>
      <c r="G51" s="62">
        <v>25.8</v>
      </c>
      <c r="H51" s="62">
        <v>25.8</v>
      </c>
      <c r="I51" s="61">
        <v>0</v>
      </c>
    </row>
    <row r="52" spans="1:9">
      <c r="A52" s="61">
        <v>25.5</v>
      </c>
      <c r="B52" s="37">
        <v>1</v>
      </c>
      <c r="C52" s="61">
        <v>25.5</v>
      </c>
      <c r="D52" s="61">
        <v>0</v>
      </c>
      <c r="E52" s="42"/>
      <c r="F52" s="62">
        <v>25.9</v>
      </c>
      <c r="G52" s="62">
        <v>25.9</v>
      </c>
      <c r="H52" s="62">
        <v>25.9</v>
      </c>
      <c r="I52" s="61">
        <v>0</v>
      </c>
    </row>
    <row r="53" spans="1:9">
      <c r="A53" s="61">
        <v>25.75</v>
      </c>
      <c r="B53" s="37">
        <v>1</v>
      </c>
      <c r="C53" s="61">
        <v>25.75</v>
      </c>
      <c r="D53" s="61">
        <v>0</v>
      </c>
      <c r="E53" s="42"/>
      <c r="F53" s="62">
        <v>29.99</v>
      </c>
      <c r="G53" s="62">
        <v>59.98</v>
      </c>
      <c r="H53" s="62">
        <v>29.99</v>
      </c>
      <c r="I53" s="61">
        <v>0</v>
      </c>
    </row>
    <row r="54" spans="1:9">
      <c r="A54" s="61">
        <v>28</v>
      </c>
      <c r="B54" s="37">
        <v>1</v>
      </c>
      <c r="C54" s="61">
        <v>28</v>
      </c>
      <c r="D54" s="61">
        <v>0</v>
      </c>
      <c r="E54" s="42"/>
      <c r="F54" s="62">
        <v>30</v>
      </c>
      <c r="G54" s="62">
        <v>480</v>
      </c>
      <c r="H54" s="62">
        <v>30</v>
      </c>
      <c r="I54" s="61">
        <v>0</v>
      </c>
    </row>
    <row r="55" spans="1:9">
      <c r="A55" s="61">
        <v>30</v>
      </c>
      <c r="B55" s="37">
        <v>1</v>
      </c>
      <c r="C55" s="61">
        <v>30</v>
      </c>
      <c r="D55" s="61">
        <v>0</v>
      </c>
      <c r="E55" s="42"/>
      <c r="F55" s="62">
        <v>30.5</v>
      </c>
      <c r="G55" s="62">
        <v>61</v>
      </c>
      <c r="H55" s="62">
        <v>30.5</v>
      </c>
      <c r="I55" s="61">
        <v>0</v>
      </c>
    </row>
    <row r="56" spans="1:9">
      <c r="A56" s="61">
        <v>32</v>
      </c>
      <c r="B56" s="37">
        <v>1</v>
      </c>
      <c r="C56" s="61">
        <v>32</v>
      </c>
      <c r="D56" s="61">
        <v>0</v>
      </c>
      <c r="E56" s="42"/>
      <c r="F56" s="62">
        <v>31.5</v>
      </c>
      <c r="G56" s="62">
        <v>31.5</v>
      </c>
      <c r="H56" s="62">
        <v>31.5</v>
      </c>
      <c r="I56" s="61">
        <v>0</v>
      </c>
    </row>
    <row r="57" spans="1:9">
      <c r="A57" s="61">
        <v>35</v>
      </c>
      <c r="B57" s="37">
        <v>1</v>
      </c>
      <c r="C57" s="61">
        <v>35</v>
      </c>
      <c r="D57" s="61">
        <v>0</v>
      </c>
      <c r="E57" s="42"/>
      <c r="F57" s="62">
        <v>32.99</v>
      </c>
      <c r="G57" s="62">
        <v>32.99</v>
      </c>
      <c r="H57" s="62">
        <v>32.99</v>
      </c>
      <c r="I57" s="61">
        <v>0</v>
      </c>
    </row>
    <row r="58" spans="1:9">
      <c r="A58" s="61">
        <v>36</v>
      </c>
      <c r="B58" s="37">
        <v>1</v>
      </c>
      <c r="C58" s="61">
        <v>36</v>
      </c>
      <c r="D58" s="61">
        <v>0</v>
      </c>
      <c r="E58" s="42"/>
      <c r="F58" s="62">
        <v>35</v>
      </c>
      <c r="G58" s="62">
        <v>175</v>
      </c>
      <c r="H58" s="62">
        <v>35</v>
      </c>
      <c r="I58" s="61">
        <v>0</v>
      </c>
    </row>
    <row r="59" spans="1:9">
      <c r="A59" s="61">
        <v>37</v>
      </c>
      <c r="B59" s="37">
        <v>1</v>
      </c>
      <c r="C59" s="61">
        <v>37</v>
      </c>
      <c r="D59" s="61">
        <v>0</v>
      </c>
      <c r="E59" s="42"/>
      <c r="F59" s="62">
        <v>35.5</v>
      </c>
      <c r="G59" s="62">
        <v>35.5</v>
      </c>
      <c r="H59" s="62">
        <v>35.5</v>
      </c>
      <c r="I59" s="61">
        <v>0</v>
      </c>
    </row>
    <row r="60" spans="1:9">
      <c r="A60" s="61">
        <v>40</v>
      </c>
      <c r="B60" s="37">
        <v>1</v>
      </c>
      <c r="C60" s="61">
        <v>40</v>
      </c>
      <c r="D60" s="61">
        <v>0</v>
      </c>
      <c r="E60" s="42"/>
      <c r="F60" s="62">
        <v>35.700000000000003</v>
      </c>
      <c r="G60" s="62">
        <v>35.700000000000003</v>
      </c>
      <c r="H60" s="62">
        <v>35.700000000000003</v>
      </c>
      <c r="I60" s="61">
        <v>0</v>
      </c>
    </row>
    <row r="61" spans="1:9">
      <c r="A61" s="61">
        <v>43</v>
      </c>
      <c r="B61" s="37">
        <v>1</v>
      </c>
      <c r="C61" s="61">
        <v>43</v>
      </c>
      <c r="D61" s="61">
        <v>0</v>
      </c>
      <c r="E61" s="42"/>
      <c r="F61" s="62">
        <v>36.9</v>
      </c>
      <c r="G61" s="62">
        <v>36.9</v>
      </c>
      <c r="H61" s="62">
        <v>36.9</v>
      </c>
      <c r="I61" s="61">
        <v>0</v>
      </c>
    </row>
    <row r="62" spans="1:9">
      <c r="A62" s="61">
        <v>44</v>
      </c>
      <c r="B62" s="37">
        <v>1</v>
      </c>
      <c r="C62" s="61">
        <v>44</v>
      </c>
      <c r="D62" s="61">
        <v>0</v>
      </c>
      <c r="E62" s="42"/>
      <c r="F62" s="62">
        <v>39.99</v>
      </c>
      <c r="G62" s="62">
        <v>39.99</v>
      </c>
      <c r="H62" s="62">
        <v>39.99</v>
      </c>
      <c r="I62" s="61">
        <v>0</v>
      </c>
    </row>
    <row r="63" spans="1:9">
      <c r="A63" s="61">
        <v>47</v>
      </c>
      <c r="B63" s="37">
        <v>1</v>
      </c>
      <c r="C63" s="61">
        <v>47</v>
      </c>
      <c r="D63" s="61">
        <v>0</v>
      </c>
      <c r="E63" s="42"/>
      <c r="F63" s="62">
        <v>40</v>
      </c>
      <c r="G63" s="62">
        <v>160</v>
      </c>
      <c r="H63" s="62">
        <v>40</v>
      </c>
      <c r="I63" s="61">
        <v>0</v>
      </c>
    </row>
    <row r="64" spans="1:9">
      <c r="A64" s="61">
        <v>49</v>
      </c>
      <c r="B64" s="37">
        <v>1</v>
      </c>
      <c r="C64" s="61">
        <v>49</v>
      </c>
      <c r="D64" s="61">
        <v>0</v>
      </c>
      <c r="E64" s="42"/>
      <c r="F64" s="62">
        <v>40.5</v>
      </c>
      <c r="G64" s="62">
        <v>81</v>
      </c>
      <c r="H64" s="62">
        <v>40.5</v>
      </c>
      <c r="I64" s="61">
        <v>0</v>
      </c>
    </row>
    <row r="65" spans="1:9">
      <c r="A65" s="61">
        <v>50</v>
      </c>
      <c r="B65" s="37">
        <v>1</v>
      </c>
      <c r="C65" s="61">
        <v>50</v>
      </c>
      <c r="D65" s="61">
        <v>0</v>
      </c>
      <c r="E65" s="42"/>
      <c r="F65" s="62">
        <v>40.6</v>
      </c>
      <c r="G65" s="62">
        <v>40.6</v>
      </c>
      <c r="H65" s="62">
        <v>40.6</v>
      </c>
      <c r="I65" s="61">
        <v>0</v>
      </c>
    </row>
    <row r="66" spans="1:9">
      <c r="A66" s="61">
        <v>96</v>
      </c>
      <c r="B66" s="37">
        <v>1</v>
      </c>
      <c r="C66" s="61">
        <v>96</v>
      </c>
      <c r="D66" s="61">
        <v>0</v>
      </c>
      <c r="E66" s="42"/>
      <c r="F66" s="62">
        <v>45</v>
      </c>
      <c r="G66" s="62">
        <v>90</v>
      </c>
      <c r="H66" s="62">
        <v>45</v>
      </c>
      <c r="I66" s="61">
        <v>0</v>
      </c>
    </row>
    <row r="67" spans="1:9">
      <c r="A67" s="61">
        <v>200</v>
      </c>
      <c r="B67" s="37">
        <v>1</v>
      </c>
      <c r="C67" s="61">
        <v>200</v>
      </c>
      <c r="D67" s="61">
        <v>0</v>
      </c>
      <c r="E67" s="42"/>
      <c r="F67" s="62">
        <v>49.99</v>
      </c>
      <c r="G67" s="62">
        <v>99.98</v>
      </c>
      <c r="H67" s="62">
        <v>49.99</v>
      </c>
      <c r="I67" s="61">
        <v>0</v>
      </c>
    </row>
    <row r="68" spans="1:9">
      <c r="A68" s="61" t="s">
        <v>614</v>
      </c>
      <c r="B68" s="37">
        <v>349</v>
      </c>
      <c r="C68" s="61">
        <v>5.9919770773638961</v>
      </c>
      <c r="D68" s="61">
        <v>14.19334184836994</v>
      </c>
      <c r="E68" s="42"/>
      <c r="F68" s="62">
        <v>50</v>
      </c>
      <c r="G68" s="62">
        <v>500</v>
      </c>
      <c r="H68" s="62">
        <v>50</v>
      </c>
      <c r="I68" s="61">
        <v>0</v>
      </c>
    </row>
    <row r="69" spans="1:9">
      <c r="F69" s="62">
        <v>50.5</v>
      </c>
      <c r="G69" s="62">
        <v>101</v>
      </c>
      <c r="H69" s="62">
        <v>50.5</v>
      </c>
      <c r="I69" s="61">
        <v>0</v>
      </c>
    </row>
    <row r="70" spans="1:9">
      <c r="A70"/>
      <c r="B70"/>
      <c r="C70"/>
      <c r="D70"/>
      <c r="E70"/>
      <c r="F70" s="62">
        <v>50.99</v>
      </c>
      <c r="G70" s="62">
        <v>50.99</v>
      </c>
      <c r="H70" s="62">
        <v>50.99</v>
      </c>
      <c r="I70" s="61">
        <v>0</v>
      </c>
    </row>
    <row r="71" spans="1:9">
      <c r="A71"/>
      <c r="B71"/>
      <c r="C71"/>
      <c r="D71"/>
      <c r="E71"/>
      <c r="F71" s="62">
        <v>55.9</v>
      </c>
      <c r="G71" s="62">
        <v>55.9</v>
      </c>
      <c r="H71" s="62">
        <v>55.9</v>
      </c>
      <c r="I71" s="61">
        <v>0</v>
      </c>
    </row>
    <row r="72" spans="1:9">
      <c r="A72"/>
      <c r="B72"/>
      <c r="C72"/>
      <c r="D72"/>
      <c r="E72"/>
      <c r="F72" s="62">
        <v>69.989999999999995</v>
      </c>
      <c r="G72" s="62">
        <v>69.989999999999995</v>
      </c>
      <c r="H72" s="62">
        <v>69.989999999999995</v>
      </c>
      <c r="I72" s="61">
        <v>0</v>
      </c>
    </row>
    <row r="73" spans="1:9">
      <c r="A73"/>
      <c r="B73"/>
      <c r="C73"/>
      <c r="D73"/>
      <c r="E73"/>
      <c r="F73" s="62">
        <v>70</v>
      </c>
      <c r="G73" s="62">
        <v>140</v>
      </c>
      <c r="H73" s="62">
        <v>70</v>
      </c>
      <c r="I73" s="61">
        <v>0</v>
      </c>
    </row>
    <row r="74" spans="1:9">
      <c r="A74"/>
      <c r="B74"/>
      <c r="C74"/>
      <c r="D74"/>
      <c r="E74"/>
      <c r="F74" s="62">
        <v>70.900000000000006</v>
      </c>
      <c r="G74" s="62">
        <v>70.900000000000006</v>
      </c>
      <c r="H74" s="62">
        <v>70.900000000000006</v>
      </c>
      <c r="I74" s="61">
        <v>0</v>
      </c>
    </row>
    <row r="75" spans="1:9">
      <c r="A75"/>
      <c r="B75"/>
      <c r="C75"/>
      <c r="D75"/>
      <c r="E75"/>
      <c r="F75" s="62">
        <v>75</v>
      </c>
      <c r="G75" s="62">
        <v>150</v>
      </c>
      <c r="H75" s="62">
        <v>75</v>
      </c>
      <c r="I75" s="61">
        <v>0</v>
      </c>
    </row>
    <row r="76" spans="1:9">
      <c r="A76"/>
      <c r="B76"/>
      <c r="C76"/>
      <c r="D76"/>
      <c r="E76"/>
      <c r="F76" s="62">
        <v>80</v>
      </c>
      <c r="G76" s="62">
        <v>240</v>
      </c>
      <c r="H76" s="62">
        <v>80</v>
      </c>
      <c r="I76" s="61">
        <v>0</v>
      </c>
    </row>
    <row r="77" spans="1:9">
      <c r="A77"/>
      <c r="B77"/>
      <c r="C77"/>
      <c r="D77"/>
      <c r="E77"/>
      <c r="F77" s="62">
        <v>90</v>
      </c>
      <c r="G77" s="62">
        <v>90</v>
      </c>
      <c r="H77" s="62">
        <v>90</v>
      </c>
      <c r="I77" s="61">
        <v>0</v>
      </c>
    </row>
    <row r="78" spans="1:9">
      <c r="A78"/>
      <c r="B78"/>
      <c r="C78"/>
      <c r="D78"/>
      <c r="E78"/>
      <c r="F78" s="62">
        <v>99.98</v>
      </c>
      <c r="G78" s="62">
        <v>99.98</v>
      </c>
      <c r="H78" s="62">
        <v>99.98</v>
      </c>
      <c r="I78" s="61">
        <v>0</v>
      </c>
    </row>
    <row r="79" spans="1:9">
      <c r="A79"/>
      <c r="B79"/>
      <c r="C79"/>
      <c r="D79"/>
      <c r="E79"/>
      <c r="F79" s="62">
        <v>100</v>
      </c>
      <c r="G79" s="62">
        <v>100</v>
      </c>
      <c r="H79" s="62">
        <v>100</v>
      </c>
      <c r="I79" s="61">
        <v>0</v>
      </c>
    </row>
    <row r="80" spans="1:9">
      <c r="A80"/>
      <c r="B80"/>
      <c r="C80"/>
      <c r="D80"/>
      <c r="E80"/>
      <c r="F80" s="62">
        <v>100.5</v>
      </c>
      <c r="G80" s="62">
        <v>201</v>
      </c>
      <c r="H80" s="62">
        <v>100.5</v>
      </c>
      <c r="I80" s="61">
        <v>0</v>
      </c>
    </row>
    <row r="81" spans="1:9">
      <c r="A81"/>
      <c r="B81"/>
      <c r="C81"/>
      <c r="D81"/>
      <c r="E81"/>
      <c r="F81" s="62">
        <v>100.7</v>
      </c>
      <c r="G81" s="62">
        <v>100.7</v>
      </c>
      <c r="H81" s="62">
        <v>100.7</v>
      </c>
      <c r="I81" s="61">
        <v>0</v>
      </c>
    </row>
    <row r="82" spans="1:9">
      <c r="A82"/>
      <c r="B82"/>
      <c r="C82"/>
      <c r="D82"/>
      <c r="E82"/>
      <c r="F82" s="62">
        <v>110.5</v>
      </c>
      <c r="G82" s="62">
        <v>110.5</v>
      </c>
      <c r="H82" s="62">
        <v>110.5</v>
      </c>
      <c r="I82" s="61">
        <v>0</v>
      </c>
    </row>
    <row r="83" spans="1:9">
      <c r="A83"/>
      <c r="B83"/>
      <c r="C83"/>
      <c r="D83"/>
      <c r="E83"/>
      <c r="F83" s="62">
        <v>120.59</v>
      </c>
      <c r="G83" s="62">
        <v>120.59</v>
      </c>
      <c r="H83" s="62">
        <v>120.59</v>
      </c>
      <c r="I83" s="61">
        <v>0</v>
      </c>
    </row>
    <row r="84" spans="1:9">
      <c r="A84"/>
      <c r="B84"/>
      <c r="C84"/>
      <c r="D84"/>
      <c r="E84"/>
      <c r="F84" s="62">
        <v>125.8</v>
      </c>
      <c r="G84" s="62">
        <v>125.8</v>
      </c>
      <c r="H84" s="62">
        <v>125.8</v>
      </c>
      <c r="I84" s="61">
        <v>0</v>
      </c>
    </row>
    <row r="85" spans="1:9">
      <c r="A85"/>
      <c r="B85"/>
      <c r="C85"/>
      <c r="D85"/>
      <c r="E85"/>
      <c r="F85" s="62">
        <v>130</v>
      </c>
      <c r="G85" s="62">
        <v>130</v>
      </c>
      <c r="H85" s="62">
        <v>130</v>
      </c>
      <c r="I85" s="61">
        <v>0</v>
      </c>
    </row>
    <row r="86" spans="1:9">
      <c r="A86"/>
      <c r="B86"/>
      <c r="C86"/>
      <c r="D86"/>
      <c r="E86"/>
      <c r="F86" s="62">
        <v>150</v>
      </c>
      <c r="G86" s="62">
        <v>300</v>
      </c>
      <c r="H86" s="62">
        <v>150</v>
      </c>
      <c r="I86" s="61">
        <v>0</v>
      </c>
    </row>
    <row r="87" spans="1:9">
      <c r="A87"/>
      <c r="B87"/>
      <c r="C87"/>
      <c r="D87"/>
      <c r="E87"/>
      <c r="F87" s="62">
        <v>150.9</v>
      </c>
      <c r="G87" s="62">
        <v>150.9</v>
      </c>
      <c r="H87" s="62">
        <v>150.9</v>
      </c>
      <c r="I87" s="61">
        <v>0</v>
      </c>
    </row>
    <row r="88" spans="1:9">
      <c r="A88"/>
      <c r="B88"/>
      <c r="C88"/>
      <c r="D88"/>
      <c r="E88"/>
      <c r="F88" s="62">
        <v>150.99</v>
      </c>
      <c r="G88" s="62">
        <v>150.99</v>
      </c>
      <c r="H88" s="62">
        <v>150.99</v>
      </c>
      <c r="I88" s="61">
        <v>0</v>
      </c>
    </row>
    <row r="89" spans="1:9">
      <c r="A89"/>
      <c r="B89"/>
      <c r="C89"/>
      <c r="D89"/>
      <c r="E89"/>
      <c r="F89" s="62">
        <v>200</v>
      </c>
      <c r="G89" s="62">
        <v>200</v>
      </c>
      <c r="H89" s="62">
        <v>200</v>
      </c>
      <c r="I89" s="61">
        <v>0</v>
      </c>
    </row>
    <row r="90" spans="1:9">
      <c r="A90"/>
      <c r="B90"/>
      <c r="C90"/>
      <c r="D90"/>
      <c r="E90"/>
      <c r="F90" s="62">
        <v>200.6</v>
      </c>
      <c r="G90" s="62">
        <v>200.6</v>
      </c>
      <c r="H90" s="62">
        <v>200.6</v>
      </c>
      <c r="I90" s="61">
        <v>0</v>
      </c>
    </row>
    <row r="91" spans="1:9">
      <c r="A91"/>
      <c r="B91"/>
      <c r="C91"/>
      <c r="D91"/>
      <c r="E91"/>
      <c r="F91" s="62">
        <v>250.5</v>
      </c>
      <c r="G91" s="62">
        <v>250.5</v>
      </c>
      <c r="H91" s="62">
        <v>250.5</v>
      </c>
      <c r="I91" s="61">
        <v>0</v>
      </c>
    </row>
    <row r="92" spans="1:9">
      <c r="A92"/>
      <c r="B92"/>
      <c r="C92"/>
      <c r="D92"/>
      <c r="E92"/>
      <c r="F92" s="62">
        <v>250.6</v>
      </c>
      <c r="G92" s="62">
        <v>250.6</v>
      </c>
      <c r="H92" s="62">
        <v>250.6</v>
      </c>
      <c r="I92" s="61">
        <v>0</v>
      </c>
    </row>
    <row r="93" spans="1:9">
      <c r="A93"/>
      <c r="B93"/>
      <c r="C93"/>
      <c r="D93"/>
      <c r="E93"/>
      <c r="F93" s="62">
        <v>250.75</v>
      </c>
      <c r="G93" s="62">
        <v>250.75</v>
      </c>
      <c r="H93" s="62">
        <v>250.75</v>
      </c>
      <c r="I93" s="61">
        <v>0</v>
      </c>
    </row>
    <row r="94" spans="1:9">
      <c r="A94"/>
      <c r="B94"/>
      <c r="C94"/>
      <c r="D94"/>
      <c r="E94"/>
      <c r="F94" s="62">
        <v>250.9</v>
      </c>
      <c r="G94" s="62">
        <v>501.8</v>
      </c>
      <c r="H94" s="62">
        <v>250.9</v>
      </c>
      <c r="I94" s="61">
        <v>0</v>
      </c>
    </row>
    <row r="95" spans="1:9">
      <c r="A95"/>
      <c r="B95"/>
      <c r="C95"/>
      <c r="D95"/>
      <c r="E95"/>
      <c r="F95" s="62">
        <v>270.89999999999998</v>
      </c>
      <c r="G95" s="62">
        <v>270.89999999999998</v>
      </c>
      <c r="H95" s="62">
        <v>270.89999999999998</v>
      </c>
      <c r="I95" s="61">
        <v>0</v>
      </c>
    </row>
    <row r="96" spans="1:9">
      <c r="A96"/>
      <c r="B96"/>
      <c r="C96"/>
      <c r="D96"/>
      <c r="E96"/>
      <c r="F96" s="62">
        <v>300</v>
      </c>
      <c r="G96" s="62">
        <v>600</v>
      </c>
      <c r="H96" s="62">
        <v>300</v>
      </c>
      <c r="I96" s="61">
        <v>0</v>
      </c>
    </row>
    <row r="97" spans="1:9">
      <c r="A97"/>
      <c r="B97"/>
      <c r="C97"/>
      <c r="D97"/>
      <c r="E97"/>
      <c r="F97" s="62">
        <v>300.5</v>
      </c>
      <c r="G97" s="62">
        <v>300.5</v>
      </c>
      <c r="H97" s="62">
        <v>300.5</v>
      </c>
      <c r="I97" s="61">
        <v>0</v>
      </c>
    </row>
    <row r="98" spans="1:9">
      <c r="A98"/>
      <c r="B98"/>
      <c r="C98"/>
      <c r="D98"/>
      <c r="E98"/>
      <c r="F98" s="62">
        <v>300.60000000000002</v>
      </c>
      <c r="G98" s="62">
        <v>300.60000000000002</v>
      </c>
      <c r="H98" s="62">
        <v>300.60000000000002</v>
      </c>
      <c r="I98" s="61">
        <v>0</v>
      </c>
    </row>
    <row r="99" spans="1:9">
      <c r="A99"/>
      <c r="B99"/>
      <c r="C99"/>
      <c r="D99"/>
      <c r="E99"/>
      <c r="F99" s="62">
        <v>309</v>
      </c>
      <c r="G99" s="62">
        <v>309</v>
      </c>
      <c r="H99" s="62">
        <v>309</v>
      </c>
      <c r="I99" s="61">
        <v>0</v>
      </c>
    </row>
    <row r="100" spans="1:9">
      <c r="A100"/>
      <c r="B100"/>
      <c r="C100"/>
      <c r="D100"/>
      <c r="E100"/>
      <c r="F100" s="62">
        <v>350.8</v>
      </c>
      <c r="G100" s="62">
        <v>350.8</v>
      </c>
      <c r="H100" s="62">
        <v>350.8</v>
      </c>
      <c r="I100" s="61">
        <v>0</v>
      </c>
    </row>
    <row r="101" spans="1:9">
      <c r="A101"/>
      <c r="B101"/>
      <c r="C101"/>
      <c r="D101"/>
      <c r="E101"/>
      <c r="F101" s="62">
        <v>400</v>
      </c>
      <c r="G101" s="62">
        <v>400</v>
      </c>
      <c r="H101" s="62">
        <v>400</v>
      </c>
      <c r="I101" s="61">
        <v>0</v>
      </c>
    </row>
    <row r="102" spans="1:9">
      <c r="A102"/>
      <c r="B102"/>
      <c r="C102"/>
      <c r="D102"/>
      <c r="E102"/>
      <c r="F102" s="62">
        <v>500</v>
      </c>
      <c r="G102" s="62">
        <v>500</v>
      </c>
      <c r="H102" s="62">
        <v>500</v>
      </c>
      <c r="I102" s="61">
        <v>0</v>
      </c>
    </row>
    <row r="103" spans="1:9">
      <c r="A103"/>
      <c r="B103"/>
      <c r="C103"/>
      <c r="D103"/>
      <c r="E103"/>
      <c r="F103" s="62">
        <v>1000.24</v>
      </c>
      <c r="G103" s="62">
        <v>1000.24</v>
      </c>
      <c r="H103" s="62">
        <v>1000.24</v>
      </c>
      <c r="I103" s="61">
        <v>0</v>
      </c>
    </row>
    <row r="104" spans="1:9">
      <c r="A104"/>
      <c r="B104"/>
      <c r="C104"/>
      <c r="D104"/>
      <c r="E104"/>
      <c r="F104" s="62">
        <v>2000</v>
      </c>
      <c r="G104" s="62">
        <v>2000</v>
      </c>
      <c r="H104" s="62">
        <v>2000</v>
      </c>
      <c r="I104" s="61">
        <v>0</v>
      </c>
    </row>
    <row r="105" spans="1:9">
      <c r="A105"/>
      <c r="B105"/>
      <c r="C105"/>
      <c r="D105"/>
      <c r="E105"/>
      <c r="F105" s="62">
        <v>3000.5</v>
      </c>
      <c r="G105" s="62">
        <v>3000.5</v>
      </c>
      <c r="H105" s="62">
        <v>3000.5</v>
      </c>
      <c r="I105" s="61">
        <v>0</v>
      </c>
    </row>
    <row r="106" spans="1:9">
      <c r="A106"/>
      <c r="B106"/>
      <c r="C106"/>
      <c r="D106"/>
      <c r="E106"/>
      <c r="F106" s="62" t="s">
        <v>614</v>
      </c>
      <c r="G106" s="62">
        <v>17467.639999999996</v>
      </c>
      <c r="H106" s="62">
        <v>50.050544412607437</v>
      </c>
      <c r="I106" s="61">
        <v>207.12990009245664</v>
      </c>
    </row>
    <row r="107" spans="1:9">
      <c r="A107"/>
      <c r="B107"/>
      <c r="C107"/>
      <c r="D107"/>
      <c r="E107"/>
    </row>
    <row r="108" spans="1:9">
      <c r="A108"/>
      <c r="B108"/>
      <c r="C108"/>
      <c r="D108"/>
      <c r="E108"/>
    </row>
    <row r="109" spans="1:9">
      <c r="A109"/>
      <c r="B109"/>
      <c r="C109"/>
      <c r="D109"/>
      <c r="E109"/>
    </row>
    <row r="110" spans="1:9">
      <c r="A110"/>
      <c r="B110"/>
      <c r="C110"/>
      <c r="D110"/>
      <c r="E110"/>
    </row>
    <row r="111" spans="1:9">
      <c r="A111"/>
      <c r="B111"/>
      <c r="C111"/>
      <c r="D111"/>
      <c r="E111"/>
    </row>
    <row r="112" spans="1:9">
      <c r="A112"/>
      <c r="B112"/>
      <c r="C112"/>
      <c r="D112"/>
      <c r="E112"/>
    </row>
    <row r="113" spans="1:5">
      <c r="A113"/>
      <c r="B113"/>
      <c r="C113"/>
      <c r="D113"/>
      <c r="E113"/>
    </row>
    <row r="114" spans="1:5">
      <c r="A114"/>
      <c r="B114"/>
      <c r="C114"/>
      <c r="D114"/>
      <c r="E114"/>
    </row>
    <row r="115" spans="1:5">
      <c r="A115"/>
      <c r="B115"/>
      <c r="C115"/>
      <c r="D115"/>
      <c r="E115"/>
    </row>
    <row r="116" spans="1:5">
      <c r="A116"/>
      <c r="B116"/>
      <c r="C116"/>
      <c r="D116"/>
      <c r="E116"/>
    </row>
    <row r="117" spans="1:5">
      <c r="A117"/>
      <c r="B117"/>
      <c r="C117"/>
      <c r="D117"/>
      <c r="E117"/>
    </row>
    <row r="118" spans="1:5">
      <c r="A118"/>
      <c r="B118"/>
      <c r="C118"/>
      <c r="D118"/>
      <c r="E118"/>
    </row>
    <row r="119" spans="1:5">
      <c r="A119"/>
      <c r="B119"/>
      <c r="C119"/>
      <c r="D119"/>
      <c r="E119"/>
    </row>
    <row r="120" spans="1:5">
      <c r="A120"/>
      <c r="B120"/>
      <c r="C120"/>
      <c r="D120"/>
      <c r="E120"/>
    </row>
    <row r="121" spans="1:5">
      <c r="A121"/>
      <c r="B121"/>
      <c r="C121"/>
      <c r="D121"/>
      <c r="E121"/>
    </row>
    <row r="122" spans="1:5">
      <c r="A122"/>
      <c r="B122"/>
      <c r="C122"/>
      <c r="D122"/>
      <c r="E122"/>
    </row>
    <row r="123" spans="1:5">
      <c r="A123"/>
      <c r="B123"/>
      <c r="C123"/>
      <c r="D123"/>
      <c r="E123"/>
    </row>
    <row r="124" spans="1:5">
      <c r="A124"/>
      <c r="B124"/>
      <c r="C124"/>
      <c r="D124"/>
      <c r="E124"/>
    </row>
    <row r="125" spans="1:5">
      <c r="A125"/>
      <c r="B125"/>
      <c r="C125"/>
      <c r="D125"/>
      <c r="E125"/>
    </row>
    <row r="126" spans="1:5">
      <c r="A126"/>
      <c r="B126"/>
      <c r="C126"/>
      <c r="D126"/>
      <c r="E126"/>
    </row>
    <row r="127" spans="1:5">
      <c r="A127"/>
      <c r="B127"/>
      <c r="C127"/>
      <c r="D127"/>
      <c r="E127"/>
    </row>
    <row r="128" spans="1:5">
      <c r="A128"/>
      <c r="B128"/>
      <c r="C128"/>
      <c r="D128"/>
      <c r="E128"/>
    </row>
    <row r="129" spans="1:5">
      <c r="A129"/>
      <c r="B129"/>
      <c r="C129"/>
      <c r="D129"/>
      <c r="E129"/>
    </row>
    <row r="130" spans="1:5">
      <c r="A130"/>
      <c r="B130"/>
      <c r="C130"/>
      <c r="D130"/>
      <c r="E130"/>
    </row>
    <row r="131" spans="1:5">
      <c r="A131"/>
      <c r="B131"/>
      <c r="C131"/>
      <c r="D131"/>
      <c r="E131"/>
    </row>
    <row r="132" spans="1:5">
      <c r="A132"/>
      <c r="B132"/>
      <c r="C132"/>
      <c r="D132"/>
      <c r="E132"/>
    </row>
    <row r="133" spans="1:5">
      <c r="A133"/>
      <c r="B133"/>
      <c r="C133"/>
      <c r="D133"/>
      <c r="E133"/>
    </row>
    <row r="134" spans="1:5">
      <c r="A134"/>
      <c r="B134"/>
      <c r="C134"/>
      <c r="D134"/>
      <c r="E134"/>
    </row>
    <row r="135" spans="1:5">
      <c r="A135"/>
      <c r="B135"/>
      <c r="C135"/>
      <c r="D135"/>
      <c r="E135"/>
    </row>
    <row r="136" spans="1:5">
      <c r="A136"/>
      <c r="B136"/>
      <c r="C136"/>
      <c r="D136"/>
      <c r="E136"/>
    </row>
    <row r="137" spans="1:5">
      <c r="A137"/>
      <c r="B137"/>
      <c r="C137"/>
      <c r="D137"/>
      <c r="E137"/>
    </row>
    <row r="138" spans="1:5">
      <c r="A138"/>
      <c r="B138"/>
      <c r="C138"/>
      <c r="D138"/>
      <c r="E138"/>
    </row>
    <row r="324" spans="1:1">
      <c r="A324" s="6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BA55-B9AE-4D38-8F4E-29B011D533AE}">
  <dimension ref="A1:G44"/>
  <sheetViews>
    <sheetView workbookViewId="0">
      <selection activeCell="A2" sqref="A1:A2"/>
    </sheetView>
  </sheetViews>
  <sheetFormatPr defaultRowHeight="12.75"/>
  <cols>
    <col min="1" max="1" width="30.28515625" customWidth="1"/>
    <col min="2" max="2" width="16.7109375" customWidth="1"/>
    <col min="3" max="3" width="24.28515625" bestFit="1" customWidth="1"/>
    <col min="4" max="4" width="9.140625" bestFit="1" customWidth="1"/>
    <col min="5" max="5" width="26.85546875" customWidth="1"/>
    <col min="6" max="6" width="18.85546875" customWidth="1"/>
    <col min="7" max="7" width="26.28515625" customWidth="1"/>
  </cols>
  <sheetData>
    <row r="1" spans="1:7" ht="36">
      <c r="A1" s="96" t="s">
        <v>642</v>
      </c>
    </row>
    <row r="2" spans="1:7" ht="125.25">
      <c r="A2" s="98" t="s">
        <v>652</v>
      </c>
    </row>
    <row r="3" spans="1:7" ht="15">
      <c r="A3" s="40" t="s">
        <v>12</v>
      </c>
      <c r="B3" s="34" t="s">
        <v>644</v>
      </c>
      <c r="C3" s="34" t="s">
        <v>653</v>
      </c>
      <c r="D3" s="100"/>
      <c r="E3" s="40" t="s">
        <v>13</v>
      </c>
      <c r="F3" s="34" t="s">
        <v>644</v>
      </c>
      <c r="G3" s="34" t="s">
        <v>653</v>
      </c>
    </row>
    <row r="4" spans="1:7" ht="15">
      <c r="A4" s="34">
        <v>1</v>
      </c>
      <c r="B4" s="35">
        <v>146</v>
      </c>
      <c r="C4" s="35">
        <v>1</v>
      </c>
      <c r="D4" s="100"/>
      <c r="E4" s="34">
        <v>1</v>
      </c>
      <c r="F4" s="35">
        <v>148</v>
      </c>
      <c r="G4" s="35">
        <v>1</v>
      </c>
    </row>
    <row r="5" spans="1:7" ht="15">
      <c r="A5" s="34">
        <v>2</v>
      </c>
      <c r="B5" s="35">
        <v>94</v>
      </c>
      <c r="C5" s="35">
        <v>2</v>
      </c>
      <c r="D5" s="100"/>
      <c r="E5" s="34">
        <v>2</v>
      </c>
      <c r="F5" s="35">
        <v>94</v>
      </c>
      <c r="G5" s="35">
        <v>2</v>
      </c>
    </row>
    <row r="6" spans="1:7" ht="15">
      <c r="A6" s="34">
        <v>3</v>
      </c>
      <c r="B6" s="35">
        <v>79</v>
      </c>
      <c r="C6" s="35">
        <v>3</v>
      </c>
      <c r="D6" s="100"/>
      <c r="E6" s="34">
        <v>3</v>
      </c>
      <c r="F6" s="35">
        <v>67</v>
      </c>
      <c r="G6" s="35">
        <v>3</v>
      </c>
    </row>
    <row r="7" spans="1:7" ht="15">
      <c r="A7" s="34">
        <v>4</v>
      </c>
      <c r="B7" s="35">
        <v>21</v>
      </c>
      <c r="C7" s="35">
        <v>4</v>
      </c>
      <c r="D7" s="100"/>
      <c r="E7" s="34">
        <v>4</v>
      </c>
      <c r="F7" s="35">
        <v>18</v>
      </c>
      <c r="G7" s="35">
        <v>4</v>
      </c>
    </row>
    <row r="8" spans="1:7" ht="15">
      <c r="A8" s="34">
        <v>5</v>
      </c>
      <c r="B8" s="35">
        <v>9</v>
      </c>
      <c r="C8" s="35">
        <v>5</v>
      </c>
      <c r="D8" s="100"/>
      <c r="E8" s="34">
        <v>5</v>
      </c>
      <c r="F8" s="35">
        <v>22</v>
      </c>
      <c r="G8" s="35">
        <v>5</v>
      </c>
    </row>
    <row r="9" spans="1:7" ht="15">
      <c r="A9" s="34" t="s">
        <v>614</v>
      </c>
      <c r="B9" s="35">
        <v>349</v>
      </c>
      <c r="C9" s="39">
        <v>2.005730659025788</v>
      </c>
      <c r="D9" s="100"/>
      <c r="E9" s="34" t="s">
        <v>614</v>
      </c>
      <c r="F9" s="35">
        <v>349</v>
      </c>
      <c r="G9" s="39">
        <v>2.0601719197707737</v>
      </c>
    </row>
    <row r="10" spans="1:7">
      <c r="A10" s="100"/>
      <c r="B10" s="100"/>
      <c r="C10" s="100"/>
      <c r="D10" s="100"/>
      <c r="E10" s="100"/>
      <c r="F10" s="100"/>
      <c r="G10" s="100"/>
    </row>
    <row r="11" spans="1:7">
      <c r="A11" s="100"/>
      <c r="B11" s="100"/>
      <c r="C11" s="100"/>
      <c r="D11" s="100"/>
      <c r="E11" s="100"/>
      <c r="F11" s="100"/>
      <c r="G11" s="100"/>
    </row>
    <row r="12" spans="1:7">
      <c r="A12" s="100"/>
      <c r="B12" s="100"/>
      <c r="C12" s="100"/>
      <c r="D12" s="100"/>
      <c r="E12" s="100"/>
      <c r="F12" s="100"/>
      <c r="G12" s="100"/>
    </row>
    <row r="13" spans="1:7">
      <c r="A13" s="100"/>
      <c r="B13" s="100"/>
      <c r="C13" s="100"/>
      <c r="D13" s="100"/>
      <c r="E13" s="100"/>
      <c r="F13" s="100"/>
      <c r="G13" s="100"/>
    </row>
    <row r="14" spans="1:7">
      <c r="A14" s="100"/>
      <c r="B14" s="100"/>
      <c r="C14" s="100"/>
      <c r="D14" s="100"/>
      <c r="E14" s="100"/>
      <c r="F14" s="100"/>
      <c r="G14" s="100"/>
    </row>
    <row r="15" spans="1:7">
      <c r="A15" s="100"/>
      <c r="B15" s="100"/>
      <c r="C15" s="100"/>
      <c r="D15" s="100"/>
      <c r="E15" s="100"/>
      <c r="F15" s="100"/>
      <c r="G15" s="100"/>
    </row>
    <row r="16" spans="1:7">
      <c r="A16" s="100"/>
      <c r="B16" s="100"/>
      <c r="C16" s="100"/>
      <c r="D16" s="100"/>
      <c r="E16" s="100"/>
      <c r="F16" s="100"/>
      <c r="G16" s="100"/>
    </row>
    <row r="17" spans="1:7">
      <c r="A17" s="100"/>
      <c r="B17" s="100"/>
      <c r="C17" s="100"/>
      <c r="D17" s="100"/>
      <c r="E17" s="100"/>
      <c r="F17" s="100"/>
      <c r="G17" s="100"/>
    </row>
    <row r="18" spans="1:7" ht="15">
      <c r="A18" s="40" t="s">
        <v>16</v>
      </c>
      <c r="B18" s="34" t="s">
        <v>644</v>
      </c>
      <c r="C18" s="34" t="s">
        <v>653</v>
      </c>
      <c r="D18" s="100"/>
      <c r="E18" s="40" t="s">
        <v>17</v>
      </c>
      <c r="F18" s="34" t="s">
        <v>644</v>
      </c>
      <c r="G18" s="34" t="s">
        <v>653</v>
      </c>
    </row>
    <row r="19" spans="1:7" ht="15">
      <c r="A19" s="34">
        <v>1</v>
      </c>
      <c r="B19" s="35">
        <v>35</v>
      </c>
      <c r="C19" s="35">
        <v>1</v>
      </c>
      <c r="D19" s="100"/>
      <c r="E19" s="34">
        <v>1</v>
      </c>
      <c r="F19" s="35">
        <v>68</v>
      </c>
      <c r="G19" s="35">
        <v>1</v>
      </c>
    </row>
    <row r="20" spans="1:7" ht="15">
      <c r="A20" s="34">
        <v>2</v>
      </c>
      <c r="B20" s="35">
        <v>32</v>
      </c>
      <c r="C20" s="35">
        <v>2</v>
      </c>
      <c r="D20" s="100"/>
      <c r="E20" s="34">
        <v>2</v>
      </c>
      <c r="F20" s="35">
        <v>87</v>
      </c>
      <c r="G20" s="35">
        <v>2</v>
      </c>
    </row>
    <row r="21" spans="1:7" ht="15">
      <c r="A21" s="34">
        <v>3</v>
      </c>
      <c r="B21" s="35">
        <v>89</v>
      </c>
      <c r="C21" s="35">
        <v>3</v>
      </c>
      <c r="D21" s="100"/>
      <c r="E21" s="34">
        <v>3</v>
      </c>
      <c r="F21" s="35">
        <v>68</v>
      </c>
      <c r="G21" s="35">
        <v>3</v>
      </c>
    </row>
    <row r="22" spans="1:7" ht="15">
      <c r="A22" s="34">
        <v>4</v>
      </c>
      <c r="B22" s="35">
        <v>80</v>
      </c>
      <c r="C22" s="35">
        <v>4</v>
      </c>
      <c r="D22" s="100"/>
      <c r="E22" s="34">
        <v>4</v>
      </c>
      <c r="F22" s="35">
        <v>49</v>
      </c>
      <c r="G22" s="35">
        <v>4</v>
      </c>
    </row>
    <row r="23" spans="1:7" ht="15">
      <c r="A23" s="34">
        <v>5</v>
      </c>
      <c r="B23" s="35">
        <v>113</v>
      </c>
      <c r="C23" s="35">
        <v>5</v>
      </c>
      <c r="D23" s="100"/>
      <c r="E23" s="34">
        <v>5</v>
      </c>
      <c r="F23" s="35">
        <v>77</v>
      </c>
      <c r="G23" s="35">
        <v>5</v>
      </c>
    </row>
    <row r="24" spans="1:7" ht="15">
      <c r="A24" s="34" t="s">
        <v>614</v>
      </c>
      <c r="B24" s="35">
        <v>349</v>
      </c>
      <c r="C24" s="39">
        <v>3.5845272206303727</v>
      </c>
      <c r="D24" s="100"/>
      <c r="E24" s="34" t="s">
        <v>614</v>
      </c>
      <c r="F24" s="35">
        <v>349</v>
      </c>
      <c r="G24" s="39">
        <v>2.9426934097421205</v>
      </c>
    </row>
    <row r="25" spans="1:7" ht="15">
      <c r="A25" s="34"/>
      <c r="B25" s="35"/>
      <c r="C25" s="39"/>
      <c r="D25" s="100"/>
      <c r="E25" s="34"/>
      <c r="F25" s="35"/>
      <c r="G25" s="39"/>
    </row>
    <row r="26" spans="1:7" ht="15">
      <c r="A26" s="34"/>
      <c r="B26" s="35"/>
      <c r="C26" s="39"/>
      <c r="D26" s="100"/>
      <c r="E26" s="34"/>
      <c r="F26" s="35"/>
      <c r="G26" s="39"/>
    </row>
    <row r="27" spans="1:7" ht="15">
      <c r="A27" s="34"/>
      <c r="B27" s="35"/>
      <c r="C27" s="39"/>
      <c r="D27" s="100"/>
      <c r="E27" s="34"/>
      <c r="F27" s="35"/>
      <c r="G27" s="39"/>
    </row>
    <row r="28" spans="1:7">
      <c r="A28" s="100"/>
      <c r="B28" s="100"/>
      <c r="C28" s="100"/>
      <c r="D28" s="100"/>
      <c r="E28" s="100"/>
      <c r="F28" s="100"/>
      <c r="G28" s="100"/>
    </row>
    <row r="29" spans="1:7">
      <c r="A29" s="100"/>
      <c r="B29" s="100"/>
      <c r="C29" s="100"/>
      <c r="D29" s="100"/>
      <c r="E29" s="100"/>
      <c r="F29" s="100"/>
      <c r="G29" s="100"/>
    </row>
    <row r="30" spans="1:7">
      <c r="A30" s="100"/>
      <c r="B30" s="100"/>
      <c r="C30" s="100"/>
      <c r="D30" s="100"/>
      <c r="E30" s="100"/>
      <c r="F30" s="100"/>
      <c r="G30" s="100"/>
    </row>
    <row r="31" spans="1:7">
      <c r="A31" s="100"/>
      <c r="B31" s="100"/>
      <c r="C31" s="100"/>
      <c r="D31" s="100"/>
      <c r="E31" s="100"/>
      <c r="F31" s="100"/>
      <c r="G31" s="100"/>
    </row>
    <row r="32" spans="1:7">
      <c r="A32" s="100"/>
      <c r="B32" s="100"/>
      <c r="C32" s="100"/>
      <c r="D32" s="100"/>
      <c r="E32" s="100"/>
      <c r="F32" s="100"/>
      <c r="G32" s="100"/>
    </row>
    <row r="33" spans="1:7" ht="15">
      <c r="A33" s="40" t="s">
        <v>21</v>
      </c>
      <c r="B33" s="34" t="s">
        <v>644</v>
      </c>
      <c r="C33" s="34" t="s">
        <v>653</v>
      </c>
      <c r="D33" s="100"/>
      <c r="E33" s="40" t="s">
        <v>22</v>
      </c>
      <c r="F33" s="34" t="s">
        <v>644</v>
      </c>
      <c r="G33" s="34" t="s">
        <v>653</v>
      </c>
    </row>
    <row r="34" spans="1:7" ht="15">
      <c r="A34" s="34">
        <v>1</v>
      </c>
      <c r="B34" s="35">
        <v>1</v>
      </c>
      <c r="C34" s="35">
        <v>1</v>
      </c>
      <c r="D34" s="100"/>
      <c r="E34" s="34">
        <v>1</v>
      </c>
      <c r="F34" s="35">
        <v>124</v>
      </c>
      <c r="G34" s="35">
        <v>1</v>
      </c>
    </row>
    <row r="35" spans="1:7" ht="15">
      <c r="A35" s="34">
        <v>2</v>
      </c>
      <c r="B35" s="35">
        <v>2</v>
      </c>
      <c r="C35" s="35">
        <v>2</v>
      </c>
      <c r="D35" s="100"/>
      <c r="E35" s="34">
        <v>2</v>
      </c>
      <c r="F35" s="35">
        <v>106</v>
      </c>
      <c r="G35" s="35">
        <v>2</v>
      </c>
    </row>
    <row r="36" spans="1:7" ht="15">
      <c r="A36" s="34">
        <v>3</v>
      </c>
      <c r="B36" s="35">
        <v>3</v>
      </c>
      <c r="C36" s="35">
        <v>3</v>
      </c>
      <c r="D36" s="100"/>
      <c r="E36" s="34">
        <v>3</v>
      </c>
      <c r="F36" s="35">
        <v>104</v>
      </c>
      <c r="G36" s="35">
        <v>3</v>
      </c>
    </row>
    <row r="37" spans="1:7" ht="15">
      <c r="A37" s="34">
        <v>4</v>
      </c>
      <c r="B37" s="35">
        <v>9</v>
      </c>
      <c r="C37" s="35">
        <v>4</v>
      </c>
      <c r="D37" s="100"/>
      <c r="E37" s="34">
        <v>4</v>
      </c>
      <c r="F37" s="35">
        <v>11</v>
      </c>
      <c r="G37" s="35">
        <v>4</v>
      </c>
    </row>
    <row r="38" spans="1:7" ht="15">
      <c r="A38" s="34">
        <v>5</v>
      </c>
      <c r="B38" s="35">
        <v>13</v>
      </c>
      <c r="C38" s="35">
        <v>5</v>
      </c>
      <c r="D38" s="100"/>
      <c r="E38" s="34">
        <v>5</v>
      </c>
      <c r="F38" s="35">
        <v>4</v>
      </c>
      <c r="G38" s="35">
        <v>5</v>
      </c>
    </row>
    <row r="39" spans="1:7" ht="15">
      <c r="A39" s="34">
        <v>6</v>
      </c>
      <c r="B39" s="35">
        <v>24</v>
      </c>
      <c r="C39" s="35">
        <v>6</v>
      </c>
      <c r="D39" s="100"/>
      <c r="E39" s="34" t="s">
        <v>614</v>
      </c>
      <c r="F39" s="35">
        <v>349</v>
      </c>
      <c r="G39" s="39">
        <v>2.0401146131805157</v>
      </c>
    </row>
    <row r="40" spans="1:7" ht="15">
      <c r="A40" s="34">
        <v>7</v>
      </c>
      <c r="B40" s="35">
        <v>44</v>
      </c>
      <c r="C40" s="35">
        <v>7</v>
      </c>
      <c r="D40" s="100"/>
      <c r="E40" s="100"/>
      <c r="F40" s="100"/>
      <c r="G40" s="100"/>
    </row>
    <row r="41" spans="1:7" ht="15">
      <c r="A41" s="34">
        <v>8</v>
      </c>
      <c r="B41" s="35">
        <v>68</v>
      </c>
      <c r="C41" s="35">
        <v>8</v>
      </c>
      <c r="D41" s="100"/>
      <c r="E41" s="100"/>
      <c r="F41" s="100"/>
      <c r="G41" s="100"/>
    </row>
    <row r="42" spans="1:7" ht="15">
      <c r="A42" s="34">
        <v>9</v>
      </c>
      <c r="B42" s="35">
        <v>57</v>
      </c>
      <c r="C42" s="35">
        <v>9</v>
      </c>
      <c r="D42" s="100"/>
      <c r="E42" s="100"/>
      <c r="F42" s="100"/>
      <c r="G42" s="100"/>
    </row>
    <row r="43" spans="1:7" ht="15">
      <c r="A43" s="34">
        <v>10</v>
      </c>
      <c r="B43" s="35">
        <v>128</v>
      </c>
      <c r="C43" s="35">
        <v>10</v>
      </c>
      <c r="D43" s="100"/>
      <c r="E43" s="100"/>
      <c r="F43" s="100"/>
      <c r="G43" s="100"/>
    </row>
    <row r="44" spans="1:7" ht="15">
      <c r="A44" s="34" t="s">
        <v>614</v>
      </c>
      <c r="B44" s="35">
        <v>349</v>
      </c>
      <c r="C44" s="39">
        <v>8.3209169054441254</v>
      </c>
      <c r="D44" s="100"/>
      <c r="E44" s="100"/>
      <c r="F44" s="100"/>
      <c r="G44" s="100"/>
    </row>
  </sheetData>
  <pageMargins left="0.7" right="0.7" top="0.75" bottom="0.75" header="0.3" footer="0.3"/>
  <drawing r:id="rId7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BB02-6FCB-4BB5-B317-2CAD070EFD75}">
  <dimension ref="A1:BW352"/>
  <sheetViews>
    <sheetView topLeftCell="BQ2" workbookViewId="0">
      <selection activeCell="AD11" sqref="AD11"/>
    </sheetView>
  </sheetViews>
  <sheetFormatPr defaultRowHeight="12.75"/>
  <cols>
    <col min="1" max="1" width="38.28515625" customWidth="1"/>
    <col min="2" max="2" width="38.28515625" bestFit="1" customWidth="1"/>
    <col min="3" max="3" width="18.28515625" customWidth="1"/>
    <col min="5" max="5" width="21" customWidth="1"/>
    <col min="6" max="6" width="22" customWidth="1"/>
    <col min="7" max="7" width="22" bestFit="1" customWidth="1"/>
    <col min="8" max="8" width="19.85546875" customWidth="1"/>
    <col min="9" max="9" width="17.42578125" customWidth="1"/>
    <col min="10" max="10" width="48.5703125" customWidth="1"/>
    <col min="11" max="13" width="17.42578125" customWidth="1"/>
    <col min="14" max="14" width="32.5703125" customWidth="1"/>
    <col min="15" max="17" width="17.42578125" customWidth="1"/>
    <col min="18" max="18" width="22.140625" customWidth="1"/>
    <col min="19" max="19" width="15.85546875" customWidth="1"/>
    <col min="20" max="20" width="22.140625" customWidth="1"/>
    <col min="21" max="21" width="21.7109375" customWidth="1"/>
    <col min="23" max="23" width="22" customWidth="1"/>
    <col min="24" max="24" width="25.85546875" customWidth="1"/>
    <col min="25" max="25" width="21.42578125" customWidth="1"/>
    <col min="27" max="27" width="41.5703125" customWidth="1"/>
    <col min="28" max="30" width="19.42578125" customWidth="1"/>
    <col min="31" max="31" width="28.28515625" customWidth="1"/>
    <col min="32" max="32" width="28.85546875" customWidth="1"/>
    <col min="33" max="33" width="17.85546875" customWidth="1"/>
    <col min="34" max="34" width="19.85546875" customWidth="1"/>
    <col min="36" max="36" width="40.42578125" customWidth="1"/>
    <col min="37" max="37" width="30.28515625" customWidth="1"/>
    <col min="38" max="38" width="17.5703125" customWidth="1"/>
    <col min="39" max="39" width="22.7109375" customWidth="1"/>
    <col min="40" max="40" width="18.85546875" customWidth="1"/>
    <col min="41" max="41" width="29.5703125" customWidth="1"/>
    <col min="42" max="42" width="23.5703125" bestFit="1" customWidth="1"/>
    <col min="43" max="44" width="23.5703125" customWidth="1"/>
    <col min="45" max="45" width="25.42578125" customWidth="1"/>
    <col min="46" max="46" width="14.5703125" bestFit="1" customWidth="1"/>
    <col min="47" max="48" width="14.5703125" customWidth="1"/>
    <col min="49" max="49" width="21" customWidth="1"/>
    <col min="50" max="50" width="21" bestFit="1" customWidth="1"/>
    <col min="51" max="52" width="21" customWidth="1"/>
    <col min="53" max="54" width="25.42578125" customWidth="1"/>
    <col min="55" max="55" width="21.42578125" bestFit="1" customWidth="1"/>
    <col min="56" max="56" width="21.42578125" customWidth="1"/>
    <col min="57" max="57" width="163.85546875" customWidth="1"/>
    <col min="58" max="60" width="21.42578125" customWidth="1"/>
    <col min="61" max="61" width="21.5703125" customWidth="1"/>
    <col min="62" max="63" width="31.5703125" customWidth="1"/>
    <col min="64" max="64" width="21.5703125" bestFit="1" customWidth="1"/>
    <col min="65" max="65" width="17.140625" customWidth="1"/>
    <col min="66" max="66" width="17.140625" bestFit="1" customWidth="1"/>
    <col min="67" max="68" width="17.140625" customWidth="1"/>
    <col min="69" max="69" width="24.28515625" customWidth="1"/>
    <col min="70" max="70" width="16.28515625" bestFit="1" customWidth="1"/>
    <col min="71" max="72" width="15.5703125" customWidth="1"/>
    <col min="73" max="73" width="25.28515625" customWidth="1"/>
    <col min="74" max="74" width="25.28515625" bestFit="1" customWidth="1"/>
    <col min="75" max="76" width="25.28515625" customWidth="1"/>
  </cols>
  <sheetData>
    <row r="1" spans="1:75" ht="18">
      <c r="A1" s="96" t="s">
        <v>642</v>
      </c>
    </row>
    <row r="2" spans="1:75" ht="107.25">
      <c r="A2" s="96" t="s">
        <v>654</v>
      </c>
    </row>
    <row r="3" spans="1:75" ht="15.75">
      <c r="A3" s="2" t="s">
        <v>2</v>
      </c>
      <c r="B3" s="10" t="s">
        <v>644</v>
      </c>
      <c r="C3" s="10" t="s">
        <v>655</v>
      </c>
      <c r="E3" s="10" t="s">
        <v>3</v>
      </c>
      <c r="F3" s="2" t="s">
        <v>3</v>
      </c>
      <c r="G3" s="10" t="s">
        <v>644</v>
      </c>
      <c r="H3" s="10" t="s">
        <v>655</v>
      </c>
      <c r="J3" s="2" t="s">
        <v>4</v>
      </c>
      <c r="K3" s="10" t="s">
        <v>644</v>
      </c>
      <c r="L3" s="10" t="s">
        <v>655</v>
      </c>
      <c r="N3" s="2" t="s">
        <v>5</v>
      </c>
      <c r="O3" s="10" t="s">
        <v>644</v>
      </c>
      <c r="P3" s="10" t="s">
        <v>655</v>
      </c>
      <c r="R3" s="30" t="s">
        <v>6</v>
      </c>
      <c r="S3" s="7" t="s">
        <v>6</v>
      </c>
      <c r="T3" s="10" t="s">
        <v>644</v>
      </c>
      <c r="U3" s="10" t="s">
        <v>655</v>
      </c>
      <c r="W3" s="2" t="s">
        <v>8</v>
      </c>
      <c r="X3" s="10" t="s">
        <v>644</v>
      </c>
      <c r="Y3" s="10" t="s">
        <v>655</v>
      </c>
      <c r="AA3" s="2" t="s">
        <v>9</v>
      </c>
      <c r="AB3" s="10" t="s">
        <v>644</v>
      </c>
      <c r="AC3" s="10" t="s">
        <v>655</v>
      </c>
      <c r="AE3" s="49" t="s">
        <v>10</v>
      </c>
      <c r="AF3" s="7" t="s">
        <v>10</v>
      </c>
      <c r="AG3" s="10" t="s">
        <v>644</v>
      </c>
      <c r="AH3" s="10" t="s">
        <v>655</v>
      </c>
      <c r="AJ3" s="10" t="s">
        <v>11</v>
      </c>
      <c r="AK3" s="7" t="s">
        <v>11</v>
      </c>
      <c r="AL3" s="10" t="s">
        <v>644</v>
      </c>
      <c r="AM3" s="10" t="s">
        <v>655</v>
      </c>
      <c r="AO3" s="2" t="s">
        <v>12</v>
      </c>
      <c r="AP3" s="10" t="s">
        <v>644</v>
      </c>
      <c r="AQ3" s="10" t="s">
        <v>655</v>
      </c>
      <c r="AS3" s="2" t="s">
        <v>13</v>
      </c>
      <c r="AT3" s="10" t="s">
        <v>644</v>
      </c>
      <c r="AU3" s="10" t="s">
        <v>655</v>
      </c>
      <c r="AW3" s="2" t="s">
        <v>16</v>
      </c>
      <c r="AX3" s="10" t="s">
        <v>644</v>
      </c>
      <c r="AY3" s="10" t="s">
        <v>655</v>
      </c>
      <c r="BA3" s="2" t="s">
        <v>17</v>
      </c>
      <c r="BB3" s="10" t="s">
        <v>644</v>
      </c>
      <c r="BC3" s="10" t="s">
        <v>655</v>
      </c>
      <c r="BE3" s="2" t="s">
        <v>18</v>
      </c>
      <c r="BF3" s="10" t="s">
        <v>644</v>
      </c>
      <c r="BG3" s="10" t="s">
        <v>655</v>
      </c>
      <c r="BI3" s="2" t="s">
        <v>19</v>
      </c>
      <c r="BJ3" s="10" t="s">
        <v>644</v>
      </c>
      <c r="BK3" s="10" t="s">
        <v>655</v>
      </c>
      <c r="BM3" s="2" t="s">
        <v>21</v>
      </c>
      <c r="BN3" s="10" t="s">
        <v>644</v>
      </c>
      <c r="BO3" s="10" t="s">
        <v>655</v>
      </c>
      <c r="BQ3" s="2" t="s">
        <v>22</v>
      </c>
      <c r="BR3" s="10" t="s">
        <v>644</v>
      </c>
      <c r="BS3" s="10" t="s">
        <v>655</v>
      </c>
      <c r="BU3" s="2" t="s">
        <v>23</v>
      </c>
      <c r="BV3" s="10" t="s">
        <v>644</v>
      </c>
      <c r="BW3" s="10" t="s">
        <v>655</v>
      </c>
    </row>
    <row r="4" spans="1:75" ht="14.25">
      <c r="A4" t="s">
        <v>29</v>
      </c>
      <c r="B4" s="64">
        <f>COUNTIF(Form_Responses[Consentimiento],"Sí, acepto participar y doy mi consentimiento.")</f>
        <v>349</v>
      </c>
      <c r="C4" s="31">
        <f>B4/B5</f>
        <v>1</v>
      </c>
      <c r="E4" s="29" t="s">
        <v>36</v>
      </c>
      <c r="F4" t="s">
        <v>30</v>
      </c>
      <c r="G4">
        <f>COUNTIF(E4:E352,"Sí")</f>
        <v>349</v>
      </c>
      <c r="H4" s="31">
        <f>G4/G5</f>
        <v>1</v>
      </c>
      <c r="J4" t="s">
        <v>31</v>
      </c>
      <c r="K4">
        <f>COUNTIF(Form_Responses[Facultad],"Facultad de Ingeniería de Sistemas Computacionales")</f>
        <v>349</v>
      </c>
      <c r="L4" s="31">
        <f>K4/K5</f>
        <v>1</v>
      </c>
      <c r="N4" t="s">
        <v>53</v>
      </c>
      <c r="O4" s="67">
        <f>COUNTIF(Form_Responses[Encuestador],"Jade Gutiérrez")</f>
        <v>91</v>
      </c>
      <c r="P4" s="68">
        <f>O4/O8</f>
        <v>0.26074498567335241</v>
      </c>
      <c r="R4" s="29" t="s">
        <v>656</v>
      </c>
      <c r="S4" s="100" t="s">
        <v>656</v>
      </c>
      <c r="T4" s="43">
        <f>COUNTIF(R4:R352,"Masculino")</f>
        <v>189</v>
      </c>
      <c r="U4" s="44">
        <f>T4/T8</f>
        <v>0.54154727793696278</v>
      </c>
      <c r="W4" t="s">
        <v>324</v>
      </c>
      <c r="X4" s="43">
        <f>COUNTIF(Form_Responses[Provincia o Comarca],"Chiriquí")</f>
        <v>2</v>
      </c>
      <c r="Y4" s="44">
        <f>X4/X9</f>
        <v>5.7306590257879654E-3</v>
      </c>
      <c r="AA4" t="s">
        <v>46</v>
      </c>
      <c r="AB4" s="43">
        <f>COUNTIF(Form_Responses[Carrera],"Ingeniería de Software")</f>
        <v>73</v>
      </c>
      <c r="AC4" s="44">
        <f>AB4/AB10</f>
        <v>0.20916905444126074</v>
      </c>
      <c r="AE4" s="33" t="s">
        <v>36</v>
      </c>
      <c r="AF4" s="100" t="s">
        <v>90</v>
      </c>
      <c r="AG4" s="47">
        <f>COUNTIF(AE4:AE352,"Sí")</f>
        <v>284</v>
      </c>
      <c r="AH4" s="44">
        <f>AG4/AG6</f>
        <v>0.81375358166189116</v>
      </c>
      <c r="AJ4" s="45" t="s">
        <v>37</v>
      </c>
      <c r="AK4" s="100" t="s">
        <v>337</v>
      </c>
      <c r="AL4" s="43">
        <f>COUNTIF(AJ3:AJ352,"En redes sociales")</f>
        <v>97</v>
      </c>
      <c r="AM4" s="44">
        <f>AL4/AL14</f>
        <v>0.27793696275071633</v>
      </c>
      <c r="AO4">
        <v>1</v>
      </c>
      <c r="AP4" s="67">
        <f>COUNTIF(Form_Responses[Nivel de Conocimiento],"1")</f>
        <v>146</v>
      </c>
      <c r="AQ4" s="68">
        <f>AP4/AP9</f>
        <v>0.41833810888252149</v>
      </c>
      <c r="AS4">
        <v>1</v>
      </c>
      <c r="AT4" s="67">
        <f>COUNTIF(Form_Responses[Familiaridad],"2")</f>
        <v>94</v>
      </c>
      <c r="AU4" s="68">
        <f>AT4/AT9</f>
        <v>0.2693409742120344</v>
      </c>
      <c r="AW4">
        <v>1</v>
      </c>
      <c r="AX4" s="67">
        <f>COUNTIF(Form_Responses[Interés en Aprender],"1")</f>
        <v>35</v>
      </c>
      <c r="AY4" s="68">
        <f>AX4/AX9</f>
        <v>0.10028653295128939</v>
      </c>
      <c r="BA4">
        <v>1</v>
      </c>
      <c r="BB4" s="67">
        <f>COUNTIF(Form_Responses[Interés en Participar],"1")</f>
        <v>68</v>
      </c>
      <c r="BC4" s="68">
        <f>BB4/BB9</f>
        <v>0.19484240687679083</v>
      </c>
      <c r="BE4" t="s">
        <v>170</v>
      </c>
      <c r="BF4" s="67">
        <f>COUNTIF(Form_Responses[Área de Interés],"..")</f>
        <v>1</v>
      </c>
      <c r="BG4" s="68">
        <f>BF4/BF46</f>
        <v>2.8653295128939827E-3</v>
      </c>
      <c r="BI4" t="s">
        <v>49</v>
      </c>
      <c r="BJ4" s="67">
        <f>COUNTIF(Form_Responses[Dedicación Semanal],"Entre 1 y 3 horas")</f>
        <v>118</v>
      </c>
      <c r="BK4" s="68">
        <f>BJ4/BJ9</f>
        <v>0.33810888252148996</v>
      </c>
      <c r="BM4">
        <v>1</v>
      </c>
      <c r="BN4" s="67">
        <f>COUNTIF(Form_Responses[Impacto Futuro],"1")</f>
        <v>1</v>
      </c>
      <c r="BO4" s="68">
        <f>BN4/BN14</f>
        <v>2.8653295128939827E-3</v>
      </c>
      <c r="BQ4">
        <v>1</v>
      </c>
      <c r="BR4" s="67">
        <f>COUNTIF(Form_Responses[Accesibilidad],"1")</f>
        <v>124</v>
      </c>
      <c r="BS4" s="68">
        <f>BR4/BR9</f>
        <v>0.35530085959885388</v>
      </c>
      <c r="BU4" t="s">
        <v>50</v>
      </c>
      <c r="BV4" s="67">
        <f>COUNTIF(Form_Responses[Integración Universitaria],"Es el momento adecuado")</f>
        <v>121</v>
      </c>
      <c r="BW4" s="68">
        <f>BV4/BV8</f>
        <v>0.34670487106017189</v>
      </c>
    </row>
    <row r="5" spans="1:75" ht="14.25">
      <c r="A5" t="s">
        <v>614</v>
      </c>
      <c r="B5" s="65">
        <f>SUM(B4)</f>
        <v>349</v>
      </c>
      <c r="C5" s="66">
        <f>SUM(C4)</f>
        <v>1</v>
      </c>
      <c r="E5" s="29" t="s">
        <v>36</v>
      </c>
      <c r="F5" t="s">
        <v>614</v>
      </c>
      <c r="G5" s="65">
        <f>COUNTIF(E4:E352,"Sí")</f>
        <v>349</v>
      </c>
      <c r="H5" s="66">
        <f>SUM(H4)</f>
        <v>1</v>
      </c>
      <c r="J5" t="s">
        <v>614</v>
      </c>
      <c r="K5" s="65">
        <f>SUM(K4)</f>
        <v>349</v>
      </c>
      <c r="L5" s="66">
        <f>SUM(L4)</f>
        <v>1</v>
      </c>
      <c r="N5" t="s">
        <v>44</v>
      </c>
      <c r="O5" s="67">
        <f>COUNTIF(Form_Responses[Encuestador],"Jean Carlos Guillén")</f>
        <v>90</v>
      </c>
      <c r="P5" s="68">
        <f>O5/O8</f>
        <v>0.25787965616045844</v>
      </c>
      <c r="R5" s="29" t="s">
        <v>656</v>
      </c>
      <c r="S5" s="100" t="s">
        <v>657</v>
      </c>
      <c r="T5" s="45">
        <f>COUNTIF(R4:R352,"Femenino")</f>
        <v>155</v>
      </c>
      <c r="U5" s="44">
        <f>T5/T8</f>
        <v>0.44412607449856734</v>
      </c>
      <c r="W5" t="s">
        <v>99</v>
      </c>
      <c r="X5" s="45">
        <f>COUNTIF(Form_Responses[Provincia o Comarca],"Colón")</f>
        <v>21</v>
      </c>
      <c r="Y5" s="44">
        <f>X5/X9</f>
        <v>6.0171919770773637E-2</v>
      </c>
      <c r="AA5" t="s">
        <v>35</v>
      </c>
      <c r="AB5" s="43">
        <f>COUNTIF(Form_Responses[Carrera],"Ingeniería en Ciberseguridad")</f>
        <v>52</v>
      </c>
      <c r="AC5" s="44">
        <f>AB5/AB10</f>
        <v>0.14899713467048711</v>
      </c>
      <c r="AE5" s="32" t="s">
        <v>36</v>
      </c>
      <c r="AF5" s="100" t="s">
        <v>36</v>
      </c>
      <c r="AG5" s="47">
        <f>COUNTIF(AE4:AE352,"No")</f>
        <v>65</v>
      </c>
      <c r="AH5" s="44">
        <f>AG5/AG6</f>
        <v>0.18624641833810887</v>
      </c>
      <c r="AJ5" s="45" t="s">
        <v>658</v>
      </c>
      <c r="AK5" s="100" t="s">
        <v>113</v>
      </c>
      <c r="AL5" s="45">
        <f>COUNTIF(AJ3:AJ352,"En esta encuesta*")</f>
        <v>73</v>
      </c>
      <c r="AM5" s="44">
        <f>AL5/AL14</f>
        <v>0.20916905444126074</v>
      </c>
      <c r="AO5">
        <v>2</v>
      </c>
      <c r="AP5" s="67">
        <f>COUNTIF(Form_Responses[Nivel de Conocimiento],"2")</f>
        <v>94</v>
      </c>
      <c r="AQ5" s="68">
        <f>AP5/AP9</f>
        <v>0.2693409742120344</v>
      </c>
      <c r="AS5">
        <v>2</v>
      </c>
      <c r="AT5" s="67">
        <f>COUNTIF(Form_Responses[Familiaridad],"3")</f>
        <v>67</v>
      </c>
      <c r="AU5" s="68">
        <f>AT5/AT9</f>
        <v>0.19197707736389685</v>
      </c>
      <c r="AW5">
        <v>2</v>
      </c>
      <c r="AX5" s="67">
        <f>COUNTIF(Form_Responses[Interés en Aprender],"2")</f>
        <v>32</v>
      </c>
      <c r="AY5" s="68">
        <f>AX5/AX9</f>
        <v>9.1690544412607447E-2</v>
      </c>
      <c r="BA5">
        <v>2</v>
      </c>
      <c r="BB5" s="67">
        <f>COUNTIF(Form_Responses[Interés en Participar],"2")</f>
        <v>87</v>
      </c>
      <c r="BC5" s="68">
        <f>BB5/BB9</f>
        <v>0.24928366762177651</v>
      </c>
      <c r="BE5" t="s">
        <v>246</v>
      </c>
      <c r="BF5" s="67">
        <f>COUNTIF(Form_Responses[Área de Interés],"...")</f>
        <v>1</v>
      </c>
      <c r="BG5" s="68">
        <f>BF5/BF46</f>
        <v>2.8653295128939827E-3</v>
      </c>
      <c r="BI5" t="s">
        <v>39</v>
      </c>
      <c r="BJ5" s="67">
        <f>COUNTIF(Form_Responses[Dedicación Semanal],"Entre 4 y 6 horas")</f>
        <v>83</v>
      </c>
      <c r="BK5" s="68">
        <f>BJ5/BJ9</f>
        <v>0.23782234957020057</v>
      </c>
      <c r="BM5">
        <v>2</v>
      </c>
      <c r="BN5" s="67">
        <f>COUNTIF(Form_Responses[Impacto Futuro],"2")</f>
        <v>2</v>
      </c>
      <c r="BO5" s="68">
        <f>BN5/BN14</f>
        <v>5.7306590257879654E-3</v>
      </c>
      <c r="BQ5">
        <v>2</v>
      </c>
      <c r="BR5" s="67">
        <f>COUNTIF(Form_Responses[Accesibilidad],"2")</f>
        <v>106</v>
      </c>
      <c r="BS5" s="68">
        <f>BR5/BR9</f>
        <v>0.30372492836676218</v>
      </c>
      <c r="BU5" t="s">
        <v>40</v>
      </c>
      <c r="BV5" s="67">
        <f>COUNTIF(Form_Responses[Integración Universitaria],"Es prematuro introducirla")</f>
        <v>141</v>
      </c>
      <c r="BW5" s="68">
        <f>BV5/BV8</f>
        <v>0.4040114613180516</v>
      </c>
    </row>
    <row r="6" spans="1:75" ht="14.25">
      <c r="E6" s="29" t="s">
        <v>36</v>
      </c>
      <c r="N6" t="s">
        <v>32</v>
      </c>
      <c r="O6" s="67">
        <f>COUNTIF(Form_Responses[Encuestador],"Juan Diego Hernández")</f>
        <v>84</v>
      </c>
      <c r="P6" s="68">
        <f>O6/O8</f>
        <v>0.24068767908309455</v>
      </c>
      <c r="R6" s="29" t="s">
        <v>657</v>
      </c>
      <c r="S6" s="100" t="s">
        <v>659</v>
      </c>
      <c r="T6" s="45">
        <f>COUNTIF(R4:R352,"Prefiero no decirlo")</f>
        <v>4</v>
      </c>
      <c r="U6" s="44">
        <f>T6/T8</f>
        <v>1.1461318051575931E-2</v>
      </c>
      <c r="W6" t="s">
        <v>34</v>
      </c>
      <c r="X6" s="45">
        <f>COUNTIF(Form_Responses[Provincia o Comarca],"Panamá")</f>
        <v>273</v>
      </c>
      <c r="Y6" s="44">
        <f>X6/X9</f>
        <v>0.7822349570200573</v>
      </c>
      <c r="AA6" t="s">
        <v>79</v>
      </c>
      <c r="AB6" s="43">
        <f>COUNTIF(Form_Responses[Carrera],"Ingeniería en Ciencias de la Computación")</f>
        <v>30</v>
      </c>
      <c r="AC6" s="44">
        <f>AB6/AB10</f>
        <v>8.5959885386819479E-2</v>
      </c>
      <c r="AE6" s="32" t="s">
        <v>36</v>
      </c>
      <c r="AF6" s="100" t="s">
        <v>614</v>
      </c>
      <c r="AG6" s="48">
        <f>SUM(AG4:AG5)</f>
        <v>349</v>
      </c>
      <c r="AH6" s="46">
        <f>SUM(AH4:AH5)</f>
        <v>1</v>
      </c>
      <c r="AJ6" s="45" t="s">
        <v>658</v>
      </c>
      <c r="AK6" s="100" t="s">
        <v>658</v>
      </c>
      <c r="AL6" s="45">
        <f>COUNTIF(AJ3:AJ352,"En la universidad")</f>
        <v>70</v>
      </c>
      <c r="AM6" s="44">
        <f>AL6/AL14</f>
        <v>0.20057306590257878</v>
      </c>
      <c r="AO6">
        <v>3</v>
      </c>
      <c r="AP6" s="67">
        <f>COUNTIF(Form_Responses[Nivel de Conocimiento],"3")</f>
        <v>79</v>
      </c>
      <c r="AQ6" s="68">
        <f>AP6/AP9</f>
        <v>0.22636103151862463</v>
      </c>
      <c r="AS6">
        <v>3</v>
      </c>
      <c r="AT6" s="67">
        <f>COUNTIF(Form_Responses[Familiaridad],"4")</f>
        <v>18</v>
      </c>
      <c r="AU6" s="68">
        <f>AT6/AT9</f>
        <v>5.1575931232091692E-2</v>
      </c>
      <c r="AW6">
        <v>3</v>
      </c>
      <c r="AX6" s="67">
        <f>COUNTIF(Form_Responses[Interés en Aprender],"3")</f>
        <v>89</v>
      </c>
      <c r="AY6" s="68">
        <f>AX6/AX9</f>
        <v>0.25501432664756446</v>
      </c>
      <c r="BA6">
        <v>3</v>
      </c>
      <c r="BB6" s="67">
        <f>COUNTIF(Form_Responses[Interés en Participar],"3")</f>
        <v>68</v>
      </c>
      <c r="BC6" s="68">
        <f>BB6/BB9</f>
        <v>0.19484240687679083</v>
      </c>
      <c r="BE6" t="s">
        <v>38</v>
      </c>
      <c r="BF6" s="67">
        <f>COUNTIF(Form_Responses[Área de Interés],"Aplicaciones Industriales (IA, Criptografía, Optimizacion)")</f>
        <v>48</v>
      </c>
      <c r="BG6" s="68">
        <f>BF6/BF46</f>
        <v>0.13753581661891118</v>
      </c>
      <c r="BI6" t="s">
        <v>94</v>
      </c>
      <c r="BJ6" s="67">
        <f>COUNTIF(Form_Responses[Dedicación Semanal],"Entre 7 y 10 horas")</f>
        <v>45</v>
      </c>
      <c r="BK6" s="68">
        <f>BJ6/BJ9</f>
        <v>0.12893982808022922</v>
      </c>
      <c r="BM6">
        <v>3</v>
      </c>
      <c r="BN6" s="67">
        <f>COUNTIF(Form_Responses[Impacto Futuro],"3")</f>
        <v>3</v>
      </c>
      <c r="BO6" s="68">
        <f>BN6/BN14</f>
        <v>8.5959885386819486E-3</v>
      </c>
      <c r="BQ6">
        <v>3</v>
      </c>
      <c r="BR6" s="67">
        <f>COUNTIF(Form_Responses[Accesibilidad],"3")</f>
        <v>104</v>
      </c>
      <c r="BS6" s="68">
        <f>BR6/BR9</f>
        <v>0.29799426934097423</v>
      </c>
      <c r="BU6" t="s">
        <v>69</v>
      </c>
      <c r="BV6" s="67">
        <f>COUNTIF(Form_Responses[Integración Universitaria],"Es urgente hacerlo")</f>
        <v>62</v>
      </c>
      <c r="BW6" s="68">
        <f>BV6/BV8</f>
        <v>0.17765042979942694</v>
      </c>
    </row>
    <row r="7" spans="1:75" ht="14.25">
      <c r="E7" s="29" t="s">
        <v>36</v>
      </c>
      <c r="N7" t="s">
        <v>85</v>
      </c>
      <c r="O7" s="67">
        <f>COUNTIF(Form_Responses[Encuestador],"Luis Lee")</f>
        <v>84</v>
      </c>
      <c r="P7" s="68">
        <f>O7/O8</f>
        <v>0.24068767908309455</v>
      </c>
      <c r="R7" s="29" t="s">
        <v>657</v>
      </c>
      <c r="S7" s="100" t="s">
        <v>660</v>
      </c>
      <c r="T7" s="45">
        <f>COUNTIF(R4:R352,"Otro")</f>
        <v>1</v>
      </c>
      <c r="U7" s="44">
        <f>T7/T8</f>
        <v>2.8653295128939827E-3</v>
      </c>
      <c r="W7" t="s">
        <v>45</v>
      </c>
      <c r="X7" s="45">
        <f>COUNTIF(Form_Responses[Provincia o Comarca],"Panamá Oeste")</f>
        <v>52</v>
      </c>
      <c r="Y7" s="44">
        <f>X7/X9</f>
        <v>0.14899713467048711</v>
      </c>
      <c r="AA7" t="s">
        <v>89</v>
      </c>
      <c r="AB7" s="43">
        <f>COUNTIF(Form_Responses[Carrera],"Ingeniería en Informática Aplicada a la Educación")</f>
        <v>32</v>
      </c>
      <c r="AC7" s="44">
        <f>AB7/AB10</f>
        <v>9.1690544412607447E-2</v>
      </c>
      <c r="AE7" s="32" t="s">
        <v>36</v>
      </c>
      <c r="AJ7" s="45" t="s">
        <v>37</v>
      </c>
      <c r="AK7" s="100" t="s">
        <v>68</v>
      </c>
      <c r="AL7" s="45">
        <f>COUNTIF(AJ3:AJ352,"Por interés propio / autoaprendizaje")</f>
        <v>58</v>
      </c>
      <c r="AM7" s="44">
        <f>AL7/AL14</f>
        <v>0.166189111747851</v>
      </c>
      <c r="AO7">
        <v>4</v>
      </c>
      <c r="AP7" s="67">
        <f>COUNTIF(Form_Responses[Nivel de Conocimiento],"4")</f>
        <v>21</v>
      </c>
      <c r="AQ7" s="68">
        <f>AP7/AP9</f>
        <v>6.0171919770773637E-2</v>
      </c>
      <c r="AS7">
        <v>4</v>
      </c>
      <c r="AT7" s="67">
        <f>COUNTIF(Form_Responses[Familiaridad],"5")</f>
        <v>22</v>
      </c>
      <c r="AU7" s="68">
        <f>AT7/AT9</f>
        <v>6.3037249283667621E-2</v>
      </c>
      <c r="AW7">
        <v>4</v>
      </c>
      <c r="AX7" s="67">
        <f>COUNTIF(Form_Responses[Interés en Aprender],"4")</f>
        <v>80</v>
      </c>
      <c r="AY7" s="68">
        <f>AX7/AX9</f>
        <v>0.22922636103151864</v>
      </c>
      <c r="BA7">
        <v>4</v>
      </c>
      <c r="BB7" s="67">
        <f>COUNTIF(Form_Responses[Interés en Participar],"4")</f>
        <v>49</v>
      </c>
      <c r="BC7" s="68">
        <f>BB7/BB9</f>
        <v>0.14040114613180515</v>
      </c>
      <c r="BE7" t="s">
        <v>367</v>
      </c>
      <c r="BF7" s="67">
        <f>COUNTIF(Form_Responses[Área de Interés],"Aplicaciones Industriales (IA, Criptografía, Optimizacion), Desarrollo de nuevas técnicas de cifrado")</f>
        <v>1</v>
      </c>
      <c r="BG7" s="68">
        <f>BF7/BF46</f>
        <v>2.8653295128939827E-3</v>
      </c>
      <c r="BI7" t="s">
        <v>102</v>
      </c>
      <c r="BJ7" s="67">
        <f>COUNTIF(Form_Responses[Dedicación Semanal],"Más de 10 horas")</f>
        <v>24</v>
      </c>
      <c r="BK7" s="68">
        <f>BJ7/BJ9</f>
        <v>6.8767908309455589E-2</v>
      </c>
      <c r="BM7">
        <v>4</v>
      </c>
      <c r="BN7" s="67">
        <f>COUNTIF(Form_Responses[Impacto Futuro],"4")</f>
        <v>9</v>
      </c>
      <c r="BO7" s="68">
        <f>BN7/BN14</f>
        <v>2.5787965616045846E-2</v>
      </c>
      <c r="BQ7">
        <v>4</v>
      </c>
      <c r="BR7" s="67">
        <f>COUNTIF(Form_Responses[Accesibilidad],"4")</f>
        <v>11</v>
      </c>
      <c r="BS7" s="68">
        <f>BR7/BR9</f>
        <v>3.151862464183381E-2</v>
      </c>
      <c r="BU7" t="s">
        <v>60</v>
      </c>
      <c r="BV7" s="67">
        <f>COUNTIF(Form_Responses[Integración Universitaria],"No es necesario")</f>
        <v>25</v>
      </c>
      <c r="BW7" s="68">
        <f>BV7/BV8</f>
        <v>7.1633237822349566E-2</v>
      </c>
    </row>
    <row r="8" spans="1:75" ht="14.25">
      <c r="E8" s="29" t="s">
        <v>36</v>
      </c>
      <c r="N8" t="s">
        <v>614</v>
      </c>
      <c r="O8" s="65">
        <f>SUM(O4:O7)</f>
        <v>349</v>
      </c>
      <c r="P8" s="66">
        <f>SUM(P4:P7)</f>
        <v>0.99999999999999989</v>
      </c>
      <c r="R8" s="29" t="s">
        <v>656</v>
      </c>
      <c r="S8" s="100" t="s">
        <v>614</v>
      </c>
      <c r="T8" s="10">
        <f>SUM(T3:T7)</f>
        <v>349</v>
      </c>
      <c r="U8" s="46">
        <f>T8/T8</f>
        <v>1</v>
      </c>
      <c r="W8" t="s">
        <v>531</v>
      </c>
      <c r="X8" s="45">
        <f>COUNTIF(Form_Responses[Provincia o Comarca],"Veraguas")</f>
        <v>1</v>
      </c>
      <c r="Y8" s="44">
        <f>X8/X9</f>
        <v>2.8653295128939827E-3</v>
      </c>
      <c r="AA8" t="s">
        <v>108</v>
      </c>
      <c r="AB8" s="43">
        <f>COUNTIF(Form_Responses[Carrera],"Ingeniería en Redes Informáticas")</f>
        <v>31</v>
      </c>
      <c r="AC8" s="44">
        <f>AB8/AB10</f>
        <v>8.882521489971347E-2</v>
      </c>
      <c r="AE8" s="32" t="s">
        <v>36</v>
      </c>
      <c r="AJ8" s="45" t="s">
        <v>658</v>
      </c>
      <c r="AK8" s="100" t="s">
        <v>100</v>
      </c>
      <c r="AL8" s="45">
        <f>COUNTIF(AJ3:AJ352,"En otros medios de comunicación")</f>
        <v>24</v>
      </c>
      <c r="AM8" s="44">
        <f>AL8/AL14</f>
        <v>6.8767908309455589E-2</v>
      </c>
      <c r="AO8">
        <v>5</v>
      </c>
      <c r="AP8" s="67">
        <f>COUNTIF(Form_Responses[Nivel de Conocimiento],"5")</f>
        <v>9</v>
      </c>
      <c r="AQ8" s="68">
        <f>AP8/AP9</f>
        <v>2.5787965616045846E-2</v>
      </c>
      <c r="AS8">
        <v>5</v>
      </c>
      <c r="AT8" s="67">
        <f>COUNTIF(Form_Responses[Familiaridad],"1")</f>
        <v>148</v>
      </c>
      <c r="AU8" s="68">
        <f>AT8/AT9</f>
        <v>0.42406876790830944</v>
      </c>
      <c r="AW8">
        <v>5</v>
      </c>
      <c r="AX8" s="67">
        <f>COUNTIF(Form_Responses[Interés en Aprender],"5")</f>
        <v>113</v>
      </c>
      <c r="AY8" s="68">
        <f>AX8/AX9</f>
        <v>0.32378223495702008</v>
      </c>
      <c r="BA8">
        <v>5</v>
      </c>
      <c r="BB8" s="67">
        <f>COUNTIF(Form_Responses[Interés en Participar],"5")</f>
        <v>77</v>
      </c>
      <c r="BC8" s="68">
        <f>BB8/BB9</f>
        <v>0.22063037249283668</v>
      </c>
      <c r="BE8" t="s">
        <v>135</v>
      </c>
      <c r="BF8" s="67">
        <f>COUNTIF(Form_Responses[Área de Interés],"Aplicaciones Industriales (IA, Criptografía, Optimizacion), Educación y Divulgación Científica")</f>
        <v>18</v>
      </c>
      <c r="BG8" s="68">
        <f>BF8/BF46</f>
        <v>5.1575931232091692E-2</v>
      </c>
      <c r="BI8" t="s">
        <v>81</v>
      </c>
      <c r="BJ8" s="67">
        <f>COUNTIF(Form_Responses[Dedicación Semanal],"Menos de 1 hora")</f>
        <v>79</v>
      </c>
      <c r="BK8" s="68">
        <f>BJ8/BJ9</f>
        <v>0.22636103151862463</v>
      </c>
      <c r="BM8">
        <v>5</v>
      </c>
      <c r="BN8" s="67">
        <f>COUNTIF(Form_Responses[Impacto Futuro],"5")</f>
        <v>13</v>
      </c>
      <c r="BO8" s="68">
        <f>BN8/BN14</f>
        <v>3.7249283667621778E-2</v>
      </c>
      <c r="BQ8">
        <v>5</v>
      </c>
      <c r="BR8" s="67">
        <f>COUNTIF(Form_Responses[Accesibilidad],"5")</f>
        <v>4</v>
      </c>
      <c r="BS8" s="68">
        <f>BR8/BR9</f>
        <v>1.1461318051575931E-2</v>
      </c>
      <c r="BU8" t="s">
        <v>614</v>
      </c>
      <c r="BV8" s="65">
        <f>SUM(BV4:BV7)</f>
        <v>349</v>
      </c>
      <c r="BW8" s="66">
        <f>SUM(BW4:BW7)</f>
        <v>1</v>
      </c>
    </row>
    <row r="9" spans="1:75" ht="14.25">
      <c r="E9" s="29" t="s">
        <v>36</v>
      </c>
      <c r="R9" s="29" t="s">
        <v>657</v>
      </c>
      <c r="W9" t="s">
        <v>614</v>
      </c>
      <c r="X9" s="65">
        <f>SUM(X4:X8)</f>
        <v>349</v>
      </c>
      <c r="Y9" s="66">
        <f>SUM(Y4:Y8)</f>
        <v>1</v>
      </c>
      <c r="AA9" t="s">
        <v>64</v>
      </c>
      <c r="AB9" s="43">
        <f>COUNTIF(Form_Responses[Carrera],"Ingeniería en Sistemas")</f>
        <v>131</v>
      </c>
      <c r="AC9" s="44">
        <f>AB9/AB10</f>
        <v>0.37535816618911177</v>
      </c>
      <c r="AE9" s="32" t="s">
        <v>36</v>
      </c>
      <c r="AJ9" s="45" t="s">
        <v>68</v>
      </c>
      <c r="AK9" s="100" t="s">
        <v>74</v>
      </c>
      <c r="AL9" s="45">
        <f>COUNTIF(AJ3:AJ352,"En cursos o conferencias")</f>
        <v>23</v>
      </c>
      <c r="AM9" s="44">
        <f>AL9/AL14</f>
        <v>6.5902578796561598E-2</v>
      </c>
      <c r="AO9" t="s">
        <v>614</v>
      </c>
      <c r="AP9" s="65">
        <f>SUM(AP4:AP8)</f>
        <v>349</v>
      </c>
      <c r="AQ9" s="66">
        <f>SUM(AQ4:AQ8)</f>
        <v>0.99999999999999989</v>
      </c>
      <c r="AS9" t="s">
        <v>614</v>
      </c>
      <c r="AT9" s="65">
        <f>SUM(AT4:AT8)</f>
        <v>349</v>
      </c>
      <c r="AU9" s="66">
        <f>SUM(AU4:AU8)</f>
        <v>1</v>
      </c>
      <c r="AW9" t="s">
        <v>614</v>
      </c>
      <c r="AX9" s="65">
        <f>SUM(AX4:AX8)</f>
        <v>349</v>
      </c>
      <c r="AY9" s="66">
        <f>SUM(AY4:AY8)</f>
        <v>1</v>
      </c>
      <c r="BA9" t="s">
        <v>614</v>
      </c>
      <c r="BB9" s="65">
        <f>SUM(BB4:BB8)</f>
        <v>349</v>
      </c>
      <c r="BC9" s="66">
        <f>SUM(BC4:BC8)</f>
        <v>1</v>
      </c>
      <c r="BE9" t="s">
        <v>369</v>
      </c>
      <c r="BF9" s="67">
        <f>COUNTIF(Form_Responses[Área de Interés],"Aplicaciones Industriales (IA, Criptografía, Optimizacion), El hecho de que algoritmos de encriptación como RSA serán obsoletos debido a las computadoras cuánticas")</f>
        <v>1</v>
      </c>
      <c r="BG9" s="68">
        <f>BF9/BF46</f>
        <v>2.8653295128939827E-3</v>
      </c>
      <c r="BI9" t="s">
        <v>614</v>
      </c>
      <c r="BJ9" s="70">
        <f>SUM(BJ4:BJ8)</f>
        <v>349</v>
      </c>
      <c r="BK9" s="71">
        <f>SUM(BK4:BK8)</f>
        <v>0.99999999999999989</v>
      </c>
      <c r="BM9">
        <v>6</v>
      </c>
      <c r="BN9" s="67">
        <f>COUNTIF(Form_Responses[Impacto Futuro],"6")</f>
        <v>24</v>
      </c>
      <c r="BO9" s="68">
        <f>BN9/BN14</f>
        <v>6.8767908309455589E-2</v>
      </c>
      <c r="BQ9" t="s">
        <v>614</v>
      </c>
      <c r="BR9" s="65">
        <f>SUM(BR4:BR8)</f>
        <v>349</v>
      </c>
      <c r="BS9" s="66">
        <f>SUM(BS4:BS8)</f>
        <v>1.0000000000000002</v>
      </c>
    </row>
    <row r="10" spans="1:75" ht="15">
      <c r="E10" s="29" t="s">
        <v>36</v>
      </c>
      <c r="R10" s="29" t="s">
        <v>659</v>
      </c>
      <c r="AA10" t="s">
        <v>614</v>
      </c>
      <c r="AB10" s="10">
        <f>SUM(AB4:AB9)</f>
        <v>349</v>
      </c>
      <c r="AC10" s="46">
        <f>SUM(AC4:AC9)</f>
        <v>1</v>
      </c>
      <c r="AE10" s="32" t="s">
        <v>36</v>
      </c>
      <c r="AJ10" s="45" t="s">
        <v>74</v>
      </c>
      <c r="AK10" s="100" t="s">
        <v>661</v>
      </c>
      <c r="AL10" s="45">
        <f>COUNTIF(AJ3:AJ352,"por mi papá")</f>
        <v>1</v>
      </c>
      <c r="AM10" s="44">
        <f>AL10/AL14</f>
        <v>2.8653295128939827E-3</v>
      </c>
      <c r="BE10" t="s">
        <v>225</v>
      </c>
      <c r="BF10" s="67">
        <f>COUNTIF(Form_Responses[Área de Interés],"Criptografía cuántica")</f>
        <v>2</v>
      </c>
      <c r="BG10" s="68">
        <f>BF10/BF46</f>
        <v>5.7306590257879654E-3</v>
      </c>
      <c r="BM10">
        <v>7</v>
      </c>
      <c r="BN10" s="67">
        <f>COUNTIF(Form_Responses[Impacto Futuro],"7")</f>
        <v>44</v>
      </c>
      <c r="BO10" s="68">
        <f>BN10/BN14</f>
        <v>0.12607449856733524</v>
      </c>
    </row>
    <row r="11" spans="1:75" ht="15">
      <c r="E11" s="29" t="s">
        <v>36</v>
      </c>
      <c r="R11" s="29" t="s">
        <v>657</v>
      </c>
      <c r="AE11" s="32" t="s">
        <v>36</v>
      </c>
      <c r="AH11" s="31"/>
      <c r="AJ11" s="45" t="s">
        <v>658</v>
      </c>
      <c r="AK11" s="100" t="s">
        <v>37</v>
      </c>
      <c r="AL11" s="45">
        <f>COUNTIF(AJ3:AJ352,"Youtube")</f>
        <v>1</v>
      </c>
      <c r="AM11" s="44">
        <f>AL11/AL14</f>
        <v>2.8653295128939827E-3</v>
      </c>
      <c r="BE11" t="s">
        <v>91</v>
      </c>
      <c r="BF11" s="67">
        <f>COUNTIF(Form_Responses[Área de Interés],"Educación y Divulgación Científica")</f>
        <v>34</v>
      </c>
      <c r="BG11" s="68">
        <f>BF11/BF46</f>
        <v>9.7421203438395415E-2</v>
      </c>
      <c r="BM11">
        <v>8</v>
      </c>
      <c r="BN11" s="67">
        <f>COUNTIF(Form_Responses[Impacto Futuro],"8")</f>
        <v>68</v>
      </c>
      <c r="BO11" s="68">
        <f>BN11/BN14</f>
        <v>0.19484240687679083</v>
      </c>
    </row>
    <row r="12" spans="1:75" ht="15">
      <c r="E12" s="29" t="s">
        <v>36</v>
      </c>
      <c r="R12" s="29" t="s">
        <v>656</v>
      </c>
      <c r="AE12" s="32" t="s">
        <v>36</v>
      </c>
      <c r="AJ12" s="45" t="s">
        <v>68</v>
      </c>
      <c r="AK12" s="100" t="s">
        <v>283</v>
      </c>
      <c r="AL12" s="45">
        <f>COUNTIF(AJ3:AJ352,"Mi familia")</f>
        <v>1</v>
      </c>
      <c r="AM12" s="44">
        <f>AL12/AL14</f>
        <v>2.8653295128939827E-3</v>
      </c>
      <c r="BE12" t="s">
        <v>80</v>
      </c>
      <c r="BF12" s="67">
        <f>COUNTIF(Form_Responses[Área de Interés],"Física y Fundamentos Teóricos")</f>
        <v>7</v>
      </c>
      <c r="BG12" s="68">
        <f>BF12/BF46</f>
        <v>2.0057306590257881E-2</v>
      </c>
      <c r="BM12">
        <v>9</v>
      </c>
      <c r="BN12" s="67">
        <f>COUNTIF(Form_Responses[Impacto Futuro],"9")</f>
        <v>57</v>
      </c>
      <c r="BO12" s="68">
        <f>BN12/BN14</f>
        <v>0.16332378223495703</v>
      </c>
    </row>
    <row r="13" spans="1:75" ht="15">
      <c r="E13" s="29" t="s">
        <v>36</v>
      </c>
      <c r="R13" s="29" t="s">
        <v>656</v>
      </c>
      <c r="AE13" s="32" t="s">
        <v>90</v>
      </c>
      <c r="AJ13" s="45" t="s">
        <v>658</v>
      </c>
      <c r="AK13" s="100" t="s">
        <v>366</v>
      </c>
      <c r="AL13" s="45">
        <f>COUNTIF(AJ3:AJ352,"en casa de mi tío")</f>
        <v>1</v>
      </c>
      <c r="AM13" s="44">
        <f>AL13/AL14</f>
        <v>2.8653295128939827E-3</v>
      </c>
      <c r="BE13" t="s">
        <v>75</v>
      </c>
      <c r="BF13" s="67">
        <f>COUNTIF(Form_Responses[Área de Interés],"Física y Fundamentos Teóricos, Aplicaciones Industriales (IA, Criptografía, Optimizacion)")</f>
        <v>10</v>
      </c>
      <c r="BG13" s="68">
        <f>BF13/BF46</f>
        <v>2.865329512893983E-2</v>
      </c>
      <c r="BM13">
        <v>10</v>
      </c>
      <c r="BN13" s="67">
        <f>COUNTIF(Form_Responses[Impacto Futuro],"10")</f>
        <v>128</v>
      </c>
      <c r="BO13" s="68">
        <f>BN13/BN14</f>
        <v>0.36676217765042979</v>
      </c>
    </row>
    <row r="14" spans="1:75" ht="15">
      <c r="E14" s="29" t="s">
        <v>36</v>
      </c>
      <c r="R14" s="29" t="s">
        <v>657</v>
      </c>
      <c r="AE14" s="32" t="s">
        <v>90</v>
      </c>
      <c r="AJ14" s="45" t="s">
        <v>658</v>
      </c>
      <c r="AK14" s="100" t="s">
        <v>614</v>
      </c>
      <c r="AL14" s="10">
        <f>SUM(AL4:AL13)</f>
        <v>349</v>
      </c>
      <c r="AM14" s="46">
        <f>SUM(AM4:AM13)</f>
        <v>0.99999999999999989</v>
      </c>
      <c r="BE14" t="s">
        <v>59</v>
      </c>
      <c r="BF14" s="67">
        <f>COUNTIF(Form_Responses[Área de Interés],"Física y Fundamentos Teóricos, Aplicaciones Industriales (IA, Criptografía, Optimizacion), Educación y Divulgación Científica")</f>
        <v>6</v>
      </c>
      <c r="BG14" s="68">
        <f>BF14/BF46</f>
        <v>1.7191977077363897E-2</v>
      </c>
      <c r="BM14" t="s">
        <v>614</v>
      </c>
      <c r="BN14" s="65">
        <f>SUM(BN4:BN13)</f>
        <v>349</v>
      </c>
      <c r="BO14" s="66">
        <f>SUM(BO4:BO13)</f>
        <v>1</v>
      </c>
    </row>
    <row r="15" spans="1:75" ht="15">
      <c r="E15" s="29" t="s">
        <v>36</v>
      </c>
      <c r="R15" s="29" t="s">
        <v>656</v>
      </c>
      <c r="AE15" s="32" t="s">
        <v>90</v>
      </c>
      <c r="AJ15" s="45" t="s">
        <v>658</v>
      </c>
      <c r="BE15" t="s">
        <v>121</v>
      </c>
      <c r="BF15" s="67">
        <f>COUNTIF(Form_Responses[Área de Interés],"Física y Fundamentos Teóricos, Educación y Divulgación Científica")</f>
        <v>3</v>
      </c>
      <c r="BG15" s="68">
        <f>BF15/BF46</f>
        <v>8.5959885386819486E-3</v>
      </c>
    </row>
    <row r="16" spans="1:75" ht="15">
      <c r="E16" s="29" t="s">
        <v>36</v>
      </c>
      <c r="R16" s="29" t="s">
        <v>657</v>
      </c>
      <c r="AE16" s="32" t="s">
        <v>36</v>
      </c>
      <c r="AJ16" s="45" t="s">
        <v>100</v>
      </c>
      <c r="BE16" t="s">
        <v>192</v>
      </c>
      <c r="BF16" s="67">
        <f>COUNTIF(Form_Responses[Área de Interés],"Hardware Cuántico")</f>
        <v>13</v>
      </c>
      <c r="BG16" s="68">
        <f>BF16/BF46</f>
        <v>3.7249283667621778E-2</v>
      </c>
    </row>
    <row r="17" spans="5:59" ht="15">
      <c r="E17" s="29" t="s">
        <v>36</v>
      </c>
      <c r="R17" s="29" t="s">
        <v>657</v>
      </c>
      <c r="AE17" s="32" t="s">
        <v>36</v>
      </c>
      <c r="AJ17" s="45" t="s">
        <v>68</v>
      </c>
      <c r="BE17" t="s">
        <v>355</v>
      </c>
      <c r="BF17" s="67">
        <f>COUNTIF(Form_Responses[Área de Interés],"Hardware Cuántico, Aplicaciones Industriales (IA, Criptografía, Optimizacion)")</f>
        <v>6</v>
      </c>
      <c r="BG17" s="68">
        <f>BF17/BF46</f>
        <v>1.7191977077363897E-2</v>
      </c>
    </row>
    <row r="18" spans="5:59" ht="15">
      <c r="E18" s="29" t="s">
        <v>36</v>
      </c>
      <c r="R18" s="29" t="s">
        <v>657</v>
      </c>
      <c r="AE18" s="32" t="s">
        <v>36</v>
      </c>
      <c r="AJ18" s="45" t="s">
        <v>68</v>
      </c>
      <c r="BE18" t="s">
        <v>364</v>
      </c>
      <c r="BF18" s="67">
        <f>COUNTIF(Form_Responses[Área de Interés],"Hardware Cuántico, Aplicaciones Industriales (IA, Criptografía, Optimizacion), Educación y Divulgación Científica")</f>
        <v>1</v>
      </c>
      <c r="BG18" s="68">
        <f>BF18/BF46</f>
        <v>2.8653295128939827E-3</v>
      </c>
    </row>
    <row r="19" spans="5:59" ht="15">
      <c r="E19" s="29" t="s">
        <v>36</v>
      </c>
      <c r="R19" s="29" t="s">
        <v>657</v>
      </c>
      <c r="AE19" s="32" t="s">
        <v>90</v>
      </c>
      <c r="AJ19" s="45" t="s">
        <v>658</v>
      </c>
      <c r="BE19" t="s">
        <v>295</v>
      </c>
      <c r="BF19" s="67">
        <f>COUNTIF(Form_Responses[Área de Interés],"Hardware Cuántico, Educación y Divulgación Científica")</f>
        <v>4</v>
      </c>
      <c r="BG19" s="68">
        <f>BF19/BF46</f>
        <v>1.1461318051575931E-2</v>
      </c>
    </row>
    <row r="20" spans="5:59" ht="15">
      <c r="E20" s="29" t="s">
        <v>36</v>
      </c>
      <c r="R20" s="29" t="s">
        <v>657</v>
      </c>
      <c r="AE20" s="32" t="s">
        <v>36</v>
      </c>
      <c r="AJ20" s="45" t="s">
        <v>113</v>
      </c>
      <c r="BE20" t="s">
        <v>207</v>
      </c>
      <c r="BF20" s="67">
        <f>COUNTIF(Form_Responses[Área de Interés],"Hardware Cuántico, Física y Fundamentos Teóricos")</f>
        <v>9</v>
      </c>
      <c r="BG20" s="68">
        <f>BF20/BF46</f>
        <v>2.5787965616045846E-2</v>
      </c>
    </row>
    <row r="21" spans="5:59" ht="15">
      <c r="E21" s="29" t="s">
        <v>36</v>
      </c>
      <c r="R21" s="29" t="s">
        <v>657</v>
      </c>
      <c r="AE21" s="32" t="s">
        <v>36</v>
      </c>
      <c r="AJ21" s="45" t="s">
        <v>113</v>
      </c>
      <c r="BE21" t="s">
        <v>449</v>
      </c>
      <c r="BF21" s="67">
        <f>COUNTIF(Form_Responses[Área de Interés],"Hardware Cuántico, Física y Fundamentos Teóricos, Aplicaciones Industriales (IA, Criptografía, Optimizacion)")</f>
        <v>2</v>
      </c>
      <c r="BG21" s="68">
        <f>BF21/BF46</f>
        <v>5.7306590257879654E-3</v>
      </c>
    </row>
    <row r="22" spans="5:59" ht="15">
      <c r="E22" s="29" t="s">
        <v>36</v>
      </c>
      <c r="R22" s="29" t="s">
        <v>656</v>
      </c>
      <c r="AE22" s="32" t="s">
        <v>36</v>
      </c>
      <c r="AJ22" s="45" t="s">
        <v>113</v>
      </c>
      <c r="BE22" t="s">
        <v>416</v>
      </c>
      <c r="BF22" s="67">
        <f>COUNTIF(Form_Responses[Área de Interés],"ninguno")</f>
        <v>1</v>
      </c>
      <c r="BG22" s="68">
        <f>BF22/BF46</f>
        <v>2.8653295128939827E-3</v>
      </c>
    </row>
    <row r="23" spans="5:59" ht="15">
      <c r="E23" s="29" t="s">
        <v>36</v>
      </c>
      <c r="R23" s="29" t="s">
        <v>656</v>
      </c>
      <c r="AE23" s="32" t="s">
        <v>90</v>
      </c>
      <c r="AJ23" s="45" t="s">
        <v>658</v>
      </c>
      <c r="BE23" t="s">
        <v>562</v>
      </c>
      <c r="BF23" s="67">
        <f>COUNTIF(Form_Responses[Área de Interés],"No me interesa ")</f>
        <v>1</v>
      </c>
      <c r="BG23" s="68">
        <f>BF23/BF46</f>
        <v>2.8653295128939827E-3</v>
      </c>
    </row>
    <row r="24" spans="5:59" ht="15">
      <c r="E24" s="29" t="s">
        <v>36</v>
      </c>
      <c r="R24" s="29" t="s">
        <v>656</v>
      </c>
      <c r="AE24" s="32" t="s">
        <v>36</v>
      </c>
      <c r="AJ24" s="45" t="s">
        <v>68</v>
      </c>
      <c r="BE24" t="s">
        <v>162</v>
      </c>
      <c r="BF24" s="67">
        <f>COUNTIF(Form_Responses[Área de Interés],"No sabría decirte  :3")</f>
        <v>1</v>
      </c>
      <c r="BG24" s="68">
        <f>BF24/BF46</f>
        <v>2.8653295128939827E-3</v>
      </c>
    </row>
    <row r="25" spans="5:59" ht="15">
      <c r="E25" s="29" t="s">
        <v>36</v>
      </c>
      <c r="R25" s="29" t="s">
        <v>657</v>
      </c>
      <c r="AE25" s="32" t="s">
        <v>90</v>
      </c>
      <c r="AJ25" s="45" t="s">
        <v>658</v>
      </c>
      <c r="BE25" t="s">
        <v>180</v>
      </c>
      <c r="BF25" s="67">
        <f>COUNTIF(Form_Responses[Área de Interés],"No sé")</f>
        <v>4</v>
      </c>
      <c r="BG25" s="68">
        <f>BF25/BF46</f>
        <v>1.1461318051575931E-2</v>
      </c>
    </row>
    <row r="26" spans="5:59" ht="15">
      <c r="E26" s="29" t="s">
        <v>36</v>
      </c>
      <c r="R26" s="29" t="s">
        <v>656</v>
      </c>
      <c r="AE26" s="32" t="s">
        <v>36</v>
      </c>
      <c r="AJ26" s="45" t="s">
        <v>113</v>
      </c>
      <c r="BE26" t="s">
        <v>498</v>
      </c>
      <c r="BF26" s="67">
        <f>COUNTIF(Form_Responses[Área de Interés],"No sé ")</f>
        <v>1</v>
      </c>
      <c r="BG26" s="68">
        <f>BF26/BF46</f>
        <v>2.8653295128939827E-3</v>
      </c>
    </row>
    <row r="27" spans="5:59" ht="15">
      <c r="E27" s="29" t="s">
        <v>36</v>
      </c>
      <c r="R27" s="29" t="s">
        <v>657</v>
      </c>
      <c r="AE27" s="32" t="s">
        <v>36</v>
      </c>
      <c r="AJ27" s="45" t="s">
        <v>68</v>
      </c>
      <c r="BE27" t="s">
        <v>386</v>
      </c>
      <c r="BF27" s="67">
        <f>COUNTIF(Form_Responses[Área de Interés],"No sé del tema como para decidir que interés tengo")</f>
        <v>1</v>
      </c>
      <c r="BG27" s="68">
        <f>BF27/BF46</f>
        <v>2.8653295128939827E-3</v>
      </c>
    </row>
    <row r="28" spans="5:59" ht="15">
      <c r="E28" s="29" t="s">
        <v>36</v>
      </c>
      <c r="R28" s="29" t="s">
        <v>656</v>
      </c>
      <c r="AE28" s="32" t="s">
        <v>36</v>
      </c>
      <c r="AJ28" s="45" t="s">
        <v>113</v>
      </c>
      <c r="BE28" t="s">
        <v>315</v>
      </c>
      <c r="BF28" s="67">
        <f>COUNTIF(Form_Responses[Área de Interés],"No sé tendría que investigar")</f>
        <v>1</v>
      </c>
      <c r="BG28" s="68">
        <f>BF28/BF46</f>
        <v>2.8653295128939827E-3</v>
      </c>
    </row>
    <row r="29" spans="5:59" ht="15">
      <c r="E29" s="29" t="s">
        <v>36</v>
      </c>
      <c r="R29" s="29" t="s">
        <v>656</v>
      </c>
      <c r="AE29" s="32" t="s">
        <v>36</v>
      </c>
      <c r="AJ29" s="45" t="s">
        <v>74</v>
      </c>
      <c r="BE29" t="s">
        <v>538</v>
      </c>
      <c r="BF29" s="67">
        <f>COUNTIF(Form_Responses[Área de Interés],"No tengo la menor idea ")</f>
        <v>1</v>
      </c>
      <c r="BG29" s="68">
        <f>BF29/BF46</f>
        <v>2.8653295128939827E-3</v>
      </c>
    </row>
    <row r="30" spans="5:59" ht="15">
      <c r="E30" s="29" t="s">
        <v>36</v>
      </c>
      <c r="R30" s="29" t="s">
        <v>657</v>
      </c>
      <c r="AE30" s="32" t="s">
        <v>36</v>
      </c>
      <c r="AJ30" s="45" t="s">
        <v>74</v>
      </c>
      <c r="BE30" t="s">
        <v>48</v>
      </c>
      <c r="BF30" s="67">
        <f>COUNTIF(Form_Responses[Área de Interés],"Programación y Desarrollo de Algoritmos Cuánticos")</f>
        <v>46</v>
      </c>
      <c r="BG30" s="68">
        <f>BF30/BF46</f>
        <v>0.1318051575931232</v>
      </c>
    </row>
    <row r="31" spans="5:59" ht="15">
      <c r="E31" s="29" t="s">
        <v>36</v>
      </c>
      <c r="R31" s="29" t="s">
        <v>657</v>
      </c>
      <c r="AE31" s="32" t="s">
        <v>36</v>
      </c>
      <c r="AJ31" s="45" t="s">
        <v>74</v>
      </c>
      <c r="BE31" t="s">
        <v>141</v>
      </c>
      <c r="BF31" s="67">
        <f>COUNTIF(Form_Responses[Área de Interés],"Programación y Desarrollo de Algoritmos Cuánticos, Aplicaciones Industriales (IA, Criptografía, Optimizacion)")</f>
        <v>34</v>
      </c>
      <c r="BG31" s="68">
        <f>BF31/BF46</f>
        <v>9.7421203438395415E-2</v>
      </c>
    </row>
    <row r="32" spans="5:59" ht="15">
      <c r="E32" s="29" t="s">
        <v>36</v>
      </c>
      <c r="R32" s="29" t="s">
        <v>656</v>
      </c>
      <c r="AE32" s="32" t="s">
        <v>36</v>
      </c>
      <c r="AJ32" s="45" t="s">
        <v>68</v>
      </c>
      <c r="BE32" t="s">
        <v>132</v>
      </c>
      <c r="BF32" s="67">
        <f>COUNTIF(Form_Responses[Área de Interés],"Programación y Desarrollo de Algoritmos Cuánticos, Aplicaciones Industriales (IA, Criptografía, Optimizacion), Educación y Divulgación Científica")</f>
        <v>6</v>
      </c>
      <c r="BG32" s="68">
        <f>BF32/BF46</f>
        <v>1.7191977077363897E-2</v>
      </c>
    </row>
    <row r="33" spans="5:59" ht="15">
      <c r="E33" s="29" t="s">
        <v>36</v>
      </c>
      <c r="R33" s="29" t="s">
        <v>656</v>
      </c>
      <c r="AE33" s="32" t="s">
        <v>36</v>
      </c>
      <c r="AJ33" s="45" t="s">
        <v>113</v>
      </c>
      <c r="BE33" t="s">
        <v>86</v>
      </c>
      <c r="BF33" s="67">
        <f>COUNTIF(Form_Responses[Área de Interés],"Programación y Desarrollo de Algoritmos Cuánticos, Educación y Divulgación Científica")</f>
        <v>6</v>
      </c>
      <c r="BG33" s="68">
        <f>BF33/BF46</f>
        <v>1.7191977077363897E-2</v>
      </c>
    </row>
    <row r="34" spans="5:59" ht="15">
      <c r="E34" s="29" t="s">
        <v>36</v>
      </c>
      <c r="R34" s="29" t="s">
        <v>656</v>
      </c>
      <c r="AE34" s="32" t="s">
        <v>36</v>
      </c>
      <c r="AJ34" s="45" t="s">
        <v>74</v>
      </c>
      <c r="BE34" t="s">
        <v>127</v>
      </c>
      <c r="BF34" s="67">
        <f>COUNTIF(Form_Responses[Área de Interés],"Programación y Desarrollo de Algoritmos Cuánticos, Física y Fundamentos Teóricos")</f>
        <v>7</v>
      </c>
      <c r="BG34" s="68">
        <f>BF34/BF46</f>
        <v>2.0057306590257881E-2</v>
      </c>
    </row>
    <row r="35" spans="5:59" ht="15">
      <c r="E35" s="29" t="s">
        <v>36</v>
      </c>
      <c r="R35" s="29" t="s">
        <v>660</v>
      </c>
      <c r="AE35" s="32" t="s">
        <v>36</v>
      </c>
      <c r="AJ35" s="45" t="s">
        <v>37</v>
      </c>
      <c r="BE35" t="s">
        <v>146</v>
      </c>
      <c r="BF35" s="67">
        <f>COUNTIF(Form_Responses[Área de Interés],"Programación y Desarrollo de Algoritmos Cuánticos, Física y Fundamentos Teóricos, Aplicaciones Industriales (IA, Criptografía, Optimizacion)")</f>
        <v>7</v>
      </c>
      <c r="BG35" s="68">
        <f>BF35/BF46</f>
        <v>2.0057306590257881E-2</v>
      </c>
    </row>
    <row r="36" spans="5:59" ht="15">
      <c r="E36" s="29" t="s">
        <v>36</v>
      </c>
      <c r="R36" s="29" t="s">
        <v>656</v>
      </c>
      <c r="AE36" s="32" t="s">
        <v>36</v>
      </c>
      <c r="AJ36" s="45" t="s">
        <v>113</v>
      </c>
      <c r="BE36" t="s">
        <v>130</v>
      </c>
      <c r="BF36" s="67">
        <f>COUNTIF(Form_Responses[Área de Interés],"Programación y Desarrollo de Algoritmos Cuánticos, Física y Fundamentos Teóricos, Educación y Divulgación Científica")</f>
        <v>4</v>
      </c>
      <c r="BG36" s="68">
        <f>BF36/BF46</f>
        <v>1.1461318051575931E-2</v>
      </c>
    </row>
    <row r="37" spans="5:59" ht="15">
      <c r="E37" s="29" t="s">
        <v>36</v>
      </c>
      <c r="R37" s="29" t="s">
        <v>656</v>
      </c>
      <c r="AE37" s="32" t="s">
        <v>36</v>
      </c>
      <c r="AJ37" s="45" t="s">
        <v>74</v>
      </c>
      <c r="BE37" t="s">
        <v>55</v>
      </c>
      <c r="BF37" s="67">
        <f>COUNTIF(Form_Responses[Área de Interés],"Programación y Desarrollo de Algoritmos Cuánticos, Hardware Cuántico")</f>
        <v>23</v>
      </c>
      <c r="BG37" s="68">
        <f>BF37/BF46</f>
        <v>6.5902578796561598E-2</v>
      </c>
    </row>
    <row r="38" spans="5:59" ht="15">
      <c r="E38" s="29" t="s">
        <v>36</v>
      </c>
      <c r="R38" s="29" t="s">
        <v>657</v>
      </c>
      <c r="AE38" s="32" t="s">
        <v>90</v>
      </c>
      <c r="AJ38" s="45" t="s">
        <v>658</v>
      </c>
      <c r="BE38" t="s">
        <v>249</v>
      </c>
      <c r="BF38" s="67">
        <f>COUNTIF(Form_Responses[Área de Interés],"Programación y Desarrollo de Algoritmos Cuánticos, Hardware Cuántico, Aplicaciones Industriales (IA, Criptografía, Optimizacion)")</f>
        <v>13</v>
      </c>
      <c r="BG38" s="68">
        <f>BF38/BF46</f>
        <v>3.7249283667621778E-2</v>
      </c>
    </row>
    <row r="39" spans="5:59" ht="15">
      <c r="E39" s="29" t="s">
        <v>36</v>
      </c>
      <c r="R39" s="29" t="s">
        <v>656</v>
      </c>
      <c r="AE39" s="32" t="s">
        <v>90</v>
      </c>
      <c r="AJ39" s="45" t="s">
        <v>658</v>
      </c>
      <c r="BE39" t="s">
        <v>543</v>
      </c>
      <c r="BF39" s="67">
        <f>COUNTIF(Form_Responses[Área de Interés],"Programación y Desarrollo de Algoritmos Cuánticos, Hardware Cuántico, Aplicaciones Industriales (IA, Criptografía, Optimizacion), Educación y Divulgación Científica")</f>
        <v>1</v>
      </c>
      <c r="BG39" s="68">
        <f>BF39/BF46</f>
        <v>2.8653295128939827E-3</v>
      </c>
    </row>
    <row r="40" spans="5:59" ht="15">
      <c r="E40" s="29" t="s">
        <v>36</v>
      </c>
      <c r="R40" s="29" t="s">
        <v>656</v>
      </c>
      <c r="AE40" s="32" t="s">
        <v>90</v>
      </c>
      <c r="AJ40" s="45" t="s">
        <v>658</v>
      </c>
      <c r="BE40" t="s">
        <v>546</v>
      </c>
      <c r="BF40" s="67">
        <f>COUNTIF(Form_Responses[Área de Interés],"Programación y Desarrollo de Algoritmos Cuánticos, Hardware Cuántico, Educación y Divulgación Científica")</f>
        <v>1</v>
      </c>
      <c r="BG40" s="68">
        <f>BF40/BF46</f>
        <v>2.8653295128939827E-3</v>
      </c>
    </row>
    <row r="41" spans="5:59" ht="15">
      <c r="E41" s="29" t="s">
        <v>36</v>
      </c>
      <c r="R41" s="29" t="s">
        <v>657</v>
      </c>
      <c r="AE41" s="32" t="s">
        <v>36</v>
      </c>
      <c r="AJ41" s="45" t="s">
        <v>74</v>
      </c>
      <c r="BE41" t="s">
        <v>125</v>
      </c>
      <c r="BF41" s="67">
        <f>COUNTIF(Form_Responses[Área de Interés],"Programación y Desarrollo de Algoritmos Cuánticos, Hardware Cuántico, Física y Fundamentos Teóricos")</f>
        <v>11</v>
      </c>
      <c r="BG41" s="68">
        <f>BF41/BF46</f>
        <v>3.151862464183381E-2</v>
      </c>
    </row>
    <row r="42" spans="5:59" ht="15">
      <c r="E42" s="29" t="s">
        <v>36</v>
      </c>
      <c r="R42" s="29" t="s">
        <v>656</v>
      </c>
      <c r="AE42" s="32" t="s">
        <v>90</v>
      </c>
      <c r="AJ42" s="45" t="s">
        <v>658</v>
      </c>
      <c r="BE42" t="s">
        <v>101</v>
      </c>
      <c r="BF42" s="67">
        <f>COUNTIF(Form_Responses[Área de Interés],"Programación y Desarrollo de Algoritmos Cuánticos, Hardware Cuántico, Física y Fundamentos Teóricos, Aplicaciones Industriales (IA, Criptografía, Optimizacion)")</f>
        <v>4</v>
      </c>
      <c r="BG42" s="68">
        <f>BF42/BF46</f>
        <v>1.1461318051575931E-2</v>
      </c>
    </row>
    <row r="43" spans="5:59" ht="15">
      <c r="E43" s="29" t="s">
        <v>36</v>
      </c>
      <c r="R43" s="29" t="s">
        <v>656</v>
      </c>
      <c r="AE43" s="32" t="s">
        <v>36</v>
      </c>
      <c r="AJ43" s="45" t="s">
        <v>74</v>
      </c>
      <c r="BE43" t="s">
        <v>259</v>
      </c>
      <c r="BF43" s="67">
        <f>COUNTIF(Form_Responses[Área de Interés],"Programación y Desarrollo de Algoritmos Cuánticos, Hardware Cuántico, Física y Fundamentos Teóricos, Aplicaciones Industriales (IA, Criptografía, Optimizacion), Educación y Divulgación Científica")</f>
        <v>6</v>
      </c>
      <c r="BG43" s="68">
        <f>BF43/BF46</f>
        <v>1.7191977077363897E-2</v>
      </c>
    </row>
    <row r="44" spans="5:59" ht="15">
      <c r="E44" s="29" t="s">
        <v>36</v>
      </c>
      <c r="R44" s="29" t="s">
        <v>656</v>
      </c>
      <c r="AE44" s="32" t="s">
        <v>90</v>
      </c>
      <c r="AJ44" s="45" t="s">
        <v>658</v>
      </c>
      <c r="BE44" t="s">
        <v>176</v>
      </c>
      <c r="BF44" s="67">
        <f>COUNTIF(Form_Responses[Área de Interés],"Solo ayudo a la encuesta ")</f>
        <v>1</v>
      </c>
      <c r="BG44" s="68">
        <f>BF44/BF46</f>
        <v>2.8653295128939827E-3</v>
      </c>
    </row>
    <row r="45" spans="5:59" ht="15">
      <c r="E45" s="29" t="s">
        <v>36</v>
      </c>
      <c r="R45" s="29" t="s">
        <v>656</v>
      </c>
      <c r="AE45" s="32" t="s">
        <v>90</v>
      </c>
      <c r="AJ45" s="45" t="s">
        <v>658</v>
      </c>
      <c r="BE45" t="s">
        <v>501</v>
      </c>
      <c r="BF45" s="67">
        <f>COUNTIF(Form_Responses[Área de Interés],"Vacio")</f>
        <v>1</v>
      </c>
      <c r="BG45" s="68">
        <f>BF45/BF46</f>
        <v>2.8653295128939827E-3</v>
      </c>
    </row>
    <row r="46" spans="5:59" ht="15">
      <c r="E46" s="29" t="s">
        <v>36</v>
      </c>
      <c r="R46" s="29" t="s">
        <v>657</v>
      </c>
      <c r="AE46" s="32" t="s">
        <v>90</v>
      </c>
      <c r="AJ46" s="45" t="s">
        <v>658</v>
      </c>
      <c r="BE46" t="s">
        <v>614</v>
      </c>
      <c r="BF46" s="65">
        <f>SUM(BF4:BF45)</f>
        <v>349</v>
      </c>
      <c r="BG46" s="66">
        <f>SUM(BG4:BG45)</f>
        <v>0.99999999999999967</v>
      </c>
    </row>
    <row r="47" spans="5:59" ht="15">
      <c r="E47" s="29" t="s">
        <v>36</v>
      </c>
      <c r="R47" s="29" t="s">
        <v>657</v>
      </c>
      <c r="AE47" s="32" t="s">
        <v>36</v>
      </c>
      <c r="AJ47" s="45" t="s">
        <v>74</v>
      </c>
    </row>
    <row r="48" spans="5:59" ht="15">
      <c r="E48" s="29" t="s">
        <v>36</v>
      </c>
      <c r="R48" s="29" t="s">
        <v>657</v>
      </c>
      <c r="AE48" s="32" t="s">
        <v>90</v>
      </c>
      <c r="AJ48" s="45" t="s">
        <v>658</v>
      </c>
    </row>
    <row r="49" spans="5:36" ht="15">
      <c r="E49" s="29" t="s">
        <v>36</v>
      </c>
      <c r="R49" s="29" t="s">
        <v>657</v>
      </c>
      <c r="AE49" s="32" t="s">
        <v>36</v>
      </c>
      <c r="AJ49" s="45" t="s">
        <v>74</v>
      </c>
    </row>
    <row r="50" spans="5:36" ht="15">
      <c r="E50" s="29" t="s">
        <v>36</v>
      </c>
      <c r="R50" s="29" t="s">
        <v>657</v>
      </c>
      <c r="AE50" s="32" t="s">
        <v>90</v>
      </c>
      <c r="AJ50" s="45" t="s">
        <v>658</v>
      </c>
    </row>
    <row r="51" spans="5:36" ht="15">
      <c r="E51" s="29" t="s">
        <v>36</v>
      </c>
      <c r="R51" s="29" t="s">
        <v>657</v>
      </c>
      <c r="AE51" s="32" t="s">
        <v>90</v>
      </c>
      <c r="AJ51" s="45" t="s">
        <v>658</v>
      </c>
    </row>
    <row r="52" spans="5:36" ht="15">
      <c r="E52" s="29" t="s">
        <v>36</v>
      </c>
      <c r="R52" s="29" t="s">
        <v>656</v>
      </c>
      <c r="AE52" s="32" t="s">
        <v>36</v>
      </c>
      <c r="AJ52" s="45" t="s">
        <v>100</v>
      </c>
    </row>
    <row r="53" spans="5:36" ht="15">
      <c r="E53" s="29" t="s">
        <v>36</v>
      </c>
      <c r="R53" s="29" t="s">
        <v>657</v>
      </c>
      <c r="AE53" s="32" t="s">
        <v>90</v>
      </c>
      <c r="AJ53" s="45" t="s">
        <v>658</v>
      </c>
    </row>
    <row r="54" spans="5:36" ht="15">
      <c r="E54" s="29" t="s">
        <v>36</v>
      </c>
      <c r="R54" s="29" t="s">
        <v>656</v>
      </c>
      <c r="AE54" s="32" t="s">
        <v>90</v>
      </c>
      <c r="AJ54" s="45" t="s">
        <v>658</v>
      </c>
    </row>
    <row r="55" spans="5:36" ht="15">
      <c r="E55" s="29" t="s">
        <v>36</v>
      </c>
      <c r="R55" s="29" t="s">
        <v>656</v>
      </c>
      <c r="AE55" s="32" t="s">
        <v>36</v>
      </c>
      <c r="AJ55" s="45" t="s">
        <v>100</v>
      </c>
    </row>
    <row r="56" spans="5:36" ht="15">
      <c r="E56" s="29" t="s">
        <v>36</v>
      </c>
      <c r="R56" s="29" t="s">
        <v>657</v>
      </c>
      <c r="AE56" s="32" t="s">
        <v>90</v>
      </c>
      <c r="AJ56" s="45" t="s">
        <v>658</v>
      </c>
    </row>
    <row r="57" spans="5:36" ht="15">
      <c r="E57" s="29" t="s">
        <v>36</v>
      </c>
      <c r="R57" s="29" t="s">
        <v>656</v>
      </c>
      <c r="AE57" s="32" t="s">
        <v>36</v>
      </c>
      <c r="AJ57" s="45" t="s">
        <v>37</v>
      </c>
    </row>
    <row r="58" spans="5:36" ht="15">
      <c r="E58" s="29" t="s">
        <v>36</v>
      </c>
      <c r="R58" s="29" t="s">
        <v>657</v>
      </c>
      <c r="AE58" s="32" t="s">
        <v>36</v>
      </c>
      <c r="AJ58" s="45" t="s">
        <v>68</v>
      </c>
    </row>
    <row r="59" spans="5:36" ht="15">
      <c r="E59" s="29" t="s">
        <v>36</v>
      </c>
      <c r="R59" s="29" t="s">
        <v>657</v>
      </c>
      <c r="AE59" s="32" t="s">
        <v>36</v>
      </c>
      <c r="AJ59" s="45" t="s">
        <v>74</v>
      </c>
    </row>
    <row r="60" spans="5:36" ht="15">
      <c r="E60" s="29" t="s">
        <v>36</v>
      </c>
      <c r="R60" s="29" t="s">
        <v>657</v>
      </c>
      <c r="AE60" s="32" t="s">
        <v>36</v>
      </c>
      <c r="AJ60" s="45" t="s">
        <v>37</v>
      </c>
    </row>
    <row r="61" spans="5:36" ht="15">
      <c r="E61" s="29" t="s">
        <v>36</v>
      </c>
      <c r="R61" s="29" t="s">
        <v>657</v>
      </c>
      <c r="AE61" s="32" t="s">
        <v>36</v>
      </c>
      <c r="AJ61" s="45" t="s">
        <v>658</v>
      </c>
    </row>
    <row r="62" spans="5:36" ht="15">
      <c r="E62" s="29" t="s">
        <v>36</v>
      </c>
      <c r="R62" s="29" t="s">
        <v>656</v>
      </c>
      <c r="AE62" s="32" t="s">
        <v>36</v>
      </c>
      <c r="AJ62" s="45" t="s">
        <v>68</v>
      </c>
    </row>
    <row r="63" spans="5:36" ht="15">
      <c r="E63" s="29" t="s">
        <v>36</v>
      </c>
      <c r="R63" s="29" t="s">
        <v>656</v>
      </c>
      <c r="AE63" s="32" t="s">
        <v>36</v>
      </c>
      <c r="AJ63" s="45" t="s">
        <v>68</v>
      </c>
    </row>
    <row r="64" spans="5:36" ht="15">
      <c r="E64" s="29" t="s">
        <v>36</v>
      </c>
      <c r="R64" s="29" t="s">
        <v>657</v>
      </c>
      <c r="AE64" s="32" t="s">
        <v>36</v>
      </c>
      <c r="AJ64" s="45" t="s">
        <v>37</v>
      </c>
    </row>
    <row r="65" spans="5:36" ht="15">
      <c r="E65" s="29" t="s">
        <v>36</v>
      </c>
      <c r="R65" s="29" t="s">
        <v>656</v>
      </c>
      <c r="AE65" s="32" t="s">
        <v>36</v>
      </c>
      <c r="AJ65" s="45" t="s">
        <v>37</v>
      </c>
    </row>
    <row r="66" spans="5:36" ht="15">
      <c r="E66" s="29" t="s">
        <v>36</v>
      </c>
      <c r="R66" s="29" t="s">
        <v>656</v>
      </c>
      <c r="AE66" s="32" t="s">
        <v>36</v>
      </c>
      <c r="AJ66" s="45" t="s">
        <v>68</v>
      </c>
    </row>
    <row r="67" spans="5:36" ht="15">
      <c r="E67" s="29" t="s">
        <v>36</v>
      </c>
      <c r="R67" s="29" t="s">
        <v>656</v>
      </c>
      <c r="AE67" s="32" t="s">
        <v>90</v>
      </c>
      <c r="AJ67" s="45" t="s">
        <v>658</v>
      </c>
    </row>
    <row r="68" spans="5:36" ht="15">
      <c r="E68" s="29" t="s">
        <v>36</v>
      </c>
      <c r="R68" s="29" t="s">
        <v>657</v>
      </c>
      <c r="AE68" s="32" t="s">
        <v>36</v>
      </c>
      <c r="AJ68" s="45" t="s">
        <v>74</v>
      </c>
    </row>
    <row r="69" spans="5:36" ht="15">
      <c r="E69" s="29" t="s">
        <v>36</v>
      </c>
      <c r="R69" s="29" t="s">
        <v>657</v>
      </c>
      <c r="AE69" s="32" t="s">
        <v>36</v>
      </c>
      <c r="AJ69" s="45" t="s">
        <v>74</v>
      </c>
    </row>
    <row r="70" spans="5:36" ht="15">
      <c r="E70" s="29" t="s">
        <v>36</v>
      </c>
      <c r="R70" s="29" t="s">
        <v>656</v>
      </c>
      <c r="AE70" s="32" t="s">
        <v>36</v>
      </c>
      <c r="AJ70" s="45" t="s">
        <v>68</v>
      </c>
    </row>
    <row r="71" spans="5:36" ht="15">
      <c r="E71" s="29" t="s">
        <v>36</v>
      </c>
      <c r="R71" s="29" t="s">
        <v>656</v>
      </c>
      <c r="AE71" s="32" t="s">
        <v>36</v>
      </c>
      <c r="AJ71" s="45" t="s">
        <v>74</v>
      </c>
    </row>
    <row r="72" spans="5:36" ht="15">
      <c r="E72" s="29" t="s">
        <v>36</v>
      </c>
      <c r="R72" s="29" t="s">
        <v>657</v>
      </c>
      <c r="AE72" s="32" t="s">
        <v>36</v>
      </c>
      <c r="AJ72" s="45" t="s">
        <v>74</v>
      </c>
    </row>
    <row r="73" spans="5:36" ht="15">
      <c r="E73" s="29" t="s">
        <v>36</v>
      </c>
      <c r="R73" s="29" t="s">
        <v>657</v>
      </c>
      <c r="AE73" s="32" t="s">
        <v>90</v>
      </c>
      <c r="AJ73" s="45" t="s">
        <v>658</v>
      </c>
    </row>
    <row r="74" spans="5:36" ht="15">
      <c r="E74" s="29" t="s">
        <v>36</v>
      </c>
      <c r="R74" s="29" t="s">
        <v>656</v>
      </c>
      <c r="AE74" s="32" t="s">
        <v>36</v>
      </c>
      <c r="AJ74" s="45" t="s">
        <v>68</v>
      </c>
    </row>
    <row r="75" spans="5:36" ht="15">
      <c r="E75" s="29" t="s">
        <v>36</v>
      </c>
      <c r="R75" s="29" t="s">
        <v>656</v>
      </c>
      <c r="AE75" s="32" t="s">
        <v>36</v>
      </c>
      <c r="AJ75" s="45" t="s">
        <v>74</v>
      </c>
    </row>
    <row r="76" spans="5:36" ht="15">
      <c r="E76" s="29" t="s">
        <v>36</v>
      </c>
      <c r="R76" s="29" t="s">
        <v>657</v>
      </c>
      <c r="AE76" s="32" t="s">
        <v>36</v>
      </c>
      <c r="AJ76" s="45" t="s">
        <v>68</v>
      </c>
    </row>
    <row r="77" spans="5:36" ht="15">
      <c r="E77" s="29" t="s">
        <v>36</v>
      </c>
      <c r="R77" s="29" t="s">
        <v>657</v>
      </c>
      <c r="AE77" s="32" t="s">
        <v>36</v>
      </c>
      <c r="AJ77" s="45" t="s">
        <v>68</v>
      </c>
    </row>
    <row r="78" spans="5:36" ht="15">
      <c r="E78" s="29" t="s">
        <v>36</v>
      </c>
      <c r="R78" s="29" t="s">
        <v>657</v>
      </c>
      <c r="AE78" s="32" t="s">
        <v>36</v>
      </c>
      <c r="AJ78" s="45" t="s">
        <v>37</v>
      </c>
    </row>
    <row r="79" spans="5:36" ht="15">
      <c r="E79" s="29" t="s">
        <v>36</v>
      </c>
      <c r="R79" s="29" t="s">
        <v>657</v>
      </c>
      <c r="AE79" s="32" t="s">
        <v>36</v>
      </c>
      <c r="AJ79" s="45" t="s">
        <v>68</v>
      </c>
    </row>
    <row r="80" spans="5:36" ht="15">
      <c r="E80" s="29" t="s">
        <v>36</v>
      </c>
      <c r="R80" s="29" t="s">
        <v>656</v>
      </c>
      <c r="AE80" s="32" t="s">
        <v>36</v>
      </c>
      <c r="AJ80" s="45" t="s">
        <v>74</v>
      </c>
    </row>
    <row r="81" spans="5:36" ht="15">
      <c r="E81" s="29" t="s">
        <v>36</v>
      </c>
      <c r="R81" s="29" t="s">
        <v>656</v>
      </c>
      <c r="AE81" s="32" t="s">
        <v>90</v>
      </c>
      <c r="AJ81" s="45" t="s">
        <v>658</v>
      </c>
    </row>
    <row r="82" spans="5:36" ht="15">
      <c r="E82" s="29" t="s">
        <v>36</v>
      </c>
      <c r="R82" s="29" t="s">
        <v>656</v>
      </c>
      <c r="AE82" s="32" t="s">
        <v>90</v>
      </c>
      <c r="AJ82" s="45" t="s">
        <v>658</v>
      </c>
    </row>
    <row r="83" spans="5:36" ht="15">
      <c r="E83" s="29" t="s">
        <v>36</v>
      </c>
      <c r="R83" s="29" t="s">
        <v>656</v>
      </c>
      <c r="AE83" s="32" t="s">
        <v>90</v>
      </c>
      <c r="AJ83" s="45" t="s">
        <v>658</v>
      </c>
    </row>
    <row r="84" spans="5:36" ht="15">
      <c r="E84" s="29" t="s">
        <v>36</v>
      </c>
      <c r="R84" s="29" t="s">
        <v>656</v>
      </c>
      <c r="AE84" s="32" t="s">
        <v>36</v>
      </c>
      <c r="AJ84" s="45" t="s">
        <v>74</v>
      </c>
    </row>
    <row r="85" spans="5:36" ht="15">
      <c r="E85" s="29" t="s">
        <v>36</v>
      </c>
      <c r="R85" s="29" t="s">
        <v>656</v>
      </c>
      <c r="AE85" s="32" t="s">
        <v>90</v>
      </c>
      <c r="AJ85" s="45" t="s">
        <v>658</v>
      </c>
    </row>
    <row r="86" spans="5:36" ht="15">
      <c r="E86" s="29" t="s">
        <v>36</v>
      </c>
      <c r="R86" s="29" t="s">
        <v>656</v>
      </c>
      <c r="AE86" s="32" t="s">
        <v>90</v>
      </c>
      <c r="AJ86" s="45" t="s">
        <v>658</v>
      </c>
    </row>
    <row r="87" spans="5:36" ht="15">
      <c r="E87" s="29" t="s">
        <v>36</v>
      </c>
      <c r="R87" s="29" t="s">
        <v>656</v>
      </c>
      <c r="AE87" s="32" t="s">
        <v>90</v>
      </c>
      <c r="AJ87" s="45" t="s">
        <v>658</v>
      </c>
    </row>
    <row r="88" spans="5:36" ht="15">
      <c r="E88" s="29" t="s">
        <v>36</v>
      </c>
      <c r="R88" s="29" t="s">
        <v>656</v>
      </c>
      <c r="AE88" s="32" t="s">
        <v>90</v>
      </c>
      <c r="AJ88" s="45" t="s">
        <v>658</v>
      </c>
    </row>
    <row r="89" spans="5:36" ht="15">
      <c r="E89" s="29" t="s">
        <v>36</v>
      </c>
      <c r="R89" s="29" t="s">
        <v>657</v>
      </c>
      <c r="AE89" s="32" t="s">
        <v>36</v>
      </c>
      <c r="AJ89" s="45" t="s">
        <v>68</v>
      </c>
    </row>
    <row r="90" spans="5:36" ht="15">
      <c r="E90" s="29" t="s">
        <v>36</v>
      </c>
      <c r="R90" s="29" t="s">
        <v>657</v>
      </c>
      <c r="AE90" s="32" t="s">
        <v>36</v>
      </c>
      <c r="AJ90" s="45" t="s">
        <v>37</v>
      </c>
    </row>
    <row r="91" spans="5:36" ht="15">
      <c r="E91" s="29" t="s">
        <v>36</v>
      </c>
      <c r="R91" s="29" t="s">
        <v>656</v>
      </c>
      <c r="AE91" s="32" t="s">
        <v>90</v>
      </c>
      <c r="AJ91" s="45" t="s">
        <v>658</v>
      </c>
    </row>
    <row r="92" spans="5:36" ht="15">
      <c r="E92" s="29" t="s">
        <v>36</v>
      </c>
      <c r="R92" s="29" t="s">
        <v>657</v>
      </c>
      <c r="AE92" s="32" t="s">
        <v>36</v>
      </c>
      <c r="AJ92" s="45" t="s">
        <v>74</v>
      </c>
    </row>
    <row r="93" spans="5:36" ht="15">
      <c r="E93" s="29" t="s">
        <v>36</v>
      </c>
      <c r="R93" s="29" t="s">
        <v>657</v>
      </c>
      <c r="AE93" s="32" t="s">
        <v>36</v>
      </c>
      <c r="AJ93" s="45" t="s">
        <v>74</v>
      </c>
    </row>
    <row r="94" spans="5:36" ht="15">
      <c r="E94" s="29" t="s">
        <v>36</v>
      </c>
      <c r="R94" s="29" t="s">
        <v>656</v>
      </c>
      <c r="AE94" s="32" t="s">
        <v>36</v>
      </c>
      <c r="AJ94" s="45" t="s">
        <v>74</v>
      </c>
    </row>
    <row r="95" spans="5:36" ht="15">
      <c r="E95" s="29" t="s">
        <v>36</v>
      </c>
      <c r="R95" s="29" t="s">
        <v>657</v>
      </c>
      <c r="AE95" s="32" t="s">
        <v>90</v>
      </c>
      <c r="AJ95" s="45" t="s">
        <v>658</v>
      </c>
    </row>
    <row r="96" spans="5:36" ht="15">
      <c r="E96" s="29" t="s">
        <v>36</v>
      </c>
      <c r="R96" s="29" t="s">
        <v>656</v>
      </c>
      <c r="AE96" s="32" t="s">
        <v>36</v>
      </c>
      <c r="AJ96" s="45" t="s">
        <v>68</v>
      </c>
    </row>
    <row r="97" spans="5:36" ht="15">
      <c r="E97" s="29" t="s">
        <v>36</v>
      </c>
      <c r="R97" s="29" t="s">
        <v>657</v>
      </c>
      <c r="AE97" s="32" t="s">
        <v>36</v>
      </c>
      <c r="AJ97" s="45" t="s">
        <v>68</v>
      </c>
    </row>
    <row r="98" spans="5:36" ht="15">
      <c r="E98" s="29" t="s">
        <v>36</v>
      </c>
      <c r="R98" s="29" t="s">
        <v>657</v>
      </c>
      <c r="AE98" s="32" t="s">
        <v>36</v>
      </c>
      <c r="AJ98" s="45" t="s">
        <v>74</v>
      </c>
    </row>
    <row r="99" spans="5:36" ht="15">
      <c r="E99" s="29" t="s">
        <v>36</v>
      </c>
      <c r="R99" s="29" t="s">
        <v>656</v>
      </c>
      <c r="AE99" s="32" t="s">
        <v>90</v>
      </c>
      <c r="AJ99" s="45" t="s">
        <v>658</v>
      </c>
    </row>
    <row r="100" spans="5:36" ht="15">
      <c r="E100" s="29" t="s">
        <v>36</v>
      </c>
      <c r="R100" s="29" t="s">
        <v>656</v>
      </c>
      <c r="AE100" s="32" t="s">
        <v>36</v>
      </c>
      <c r="AJ100" s="45" t="s">
        <v>68</v>
      </c>
    </row>
    <row r="101" spans="5:36" ht="15">
      <c r="E101" s="29" t="s">
        <v>36</v>
      </c>
      <c r="R101" s="29" t="s">
        <v>657</v>
      </c>
      <c r="AE101" s="32" t="s">
        <v>36</v>
      </c>
      <c r="AJ101" s="45" t="s">
        <v>74</v>
      </c>
    </row>
    <row r="102" spans="5:36" ht="15">
      <c r="E102" s="29" t="s">
        <v>36</v>
      </c>
      <c r="R102" s="29" t="s">
        <v>657</v>
      </c>
      <c r="AE102" s="32" t="s">
        <v>90</v>
      </c>
      <c r="AJ102" s="45" t="s">
        <v>658</v>
      </c>
    </row>
    <row r="103" spans="5:36" ht="15">
      <c r="E103" s="29" t="s">
        <v>36</v>
      </c>
      <c r="R103" s="29" t="s">
        <v>657</v>
      </c>
      <c r="AE103" s="32" t="s">
        <v>36</v>
      </c>
      <c r="AJ103" s="45" t="s">
        <v>100</v>
      </c>
    </row>
    <row r="104" spans="5:36" ht="15">
      <c r="E104" s="29" t="s">
        <v>36</v>
      </c>
      <c r="R104" s="29" t="s">
        <v>657</v>
      </c>
      <c r="AE104" s="32" t="s">
        <v>90</v>
      </c>
      <c r="AJ104" s="45" t="s">
        <v>658</v>
      </c>
    </row>
    <row r="105" spans="5:36" ht="15">
      <c r="E105" s="29" t="s">
        <v>36</v>
      </c>
      <c r="R105" s="29" t="s">
        <v>656</v>
      </c>
      <c r="AE105" s="32" t="s">
        <v>36</v>
      </c>
      <c r="AJ105" s="45" t="s">
        <v>74</v>
      </c>
    </row>
    <row r="106" spans="5:36" ht="15">
      <c r="E106" s="29" t="s">
        <v>36</v>
      </c>
      <c r="R106" s="29" t="s">
        <v>657</v>
      </c>
      <c r="AE106" s="32" t="s">
        <v>36</v>
      </c>
      <c r="AJ106" s="45" t="s">
        <v>68</v>
      </c>
    </row>
    <row r="107" spans="5:36" ht="15">
      <c r="E107" s="29" t="s">
        <v>36</v>
      </c>
      <c r="R107" s="29" t="s">
        <v>656</v>
      </c>
      <c r="AE107" s="32" t="s">
        <v>36</v>
      </c>
      <c r="AJ107" s="45" t="s">
        <v>74</v>
      </c>
    </row>
    <row r="108" spans="5:36" ht="15">
      <c r="E108" s="29" t="s">
        <v>36</v>
      </c>
      <c r="R108" s="29" t="s">
        <v>657</v>
      </c>
      <c r="AE108" s="32" t="s">
        <v>36</v>
      </c>
      <c r="AJ108" s="45" t="s">
        <v>74</v>
      </c>
    </row>
    <row r="109" spans="5:36" ht="15">
      <c r="E109" s="29" t="s">
        <v>36</v>
      </c>
      <c r="R109" s="29" t="s">
        <v>656</v>
      </c>
      <c r="AE109" s="32" t="s">
        <v>36</v>
      </c>
      <c r="AJ109" s="45" t="s">
        <v>74</v>
      </c>
    </row>
    <row r="110" spans="5:36" ht="15">
      <c r="E110" s="29" t="s">
        <v>36</v>
      </c>
      <c r="R110" s="29" t="s">
        <v>657</v>
      </c>
      <c r="AE110" s="32" t="s">
        <v>36</v>
      </c>
      <c r="AJ110" s="45" t="s">
        <v>74</v>
      </c>
    </row>
    <row r="111" spans="5:36" ht="15">
      <c r="E111" s="29" t="s">
        <v>36</v>
      </c>
      <c r="R111" s="29" t="s">
        <v>657</v>
      </c>
      <c r="AE111" s="32" t="s">
        <v>36</v>
      </c>
      <c r="AJ111" s="45" t="s">
        <v>68</v>
      </c>
    </row>
    <row r="112" spans="5:36" ht="15">
      <c r="E112" s="29" t="s">
        <v>36</v>
      </c>
      <c r="R112" s="29" t="s">
        <v>657</v>
      </c>
      <c r="AE112" s="32" t="s">
        <v>36</v>
      </c>
      <c r="AJ112" s="45" t="s">
        <v>37</v>
      </c>
    </row>
    <row r="113" spans="5:36" ht="15">
      <c r="E113" s="29" t="s">
        <v>36</v>
      </c>
      <c r="R113" s="29" t="s">
        <v>656</v>
      </c>
      <c r="AE113" s="32" t="s">
        <v>36</v>
      </c>
      <c r="AJ113" s="45" t="s">
        <v>37</v>
      </c>
    </row>
    <row r="114" spans="5:36" ht="15">
      <c r="E114" s="29" t="s">
        <v>36</v>
      </c>
      <c r="R114" s="29" t="s">
        <v>656</v>
      </c>
      <c r="AE114" s="32" t="s">
        <v>90</v>
      </c>
      <c r="AJ114" s="45" t="s">
        <v>658</v>
      </c>
    </row>
    <row r="115" spans="5:36" ht="15">
      <c r="E115" s="29" t="s">
        <v>36</v>
      </c>
      <c r="R115" s="29" t="s">
        <v>656</v>
      </c>
      <c r="AE115" s="32" t="s">
        <v>36</v>
      </c>
      <c r="AJ115" s="45" t="s">
        <v>74</v>
      </c>
    </row>
    <row r="116" spans="5:36" ht="15">
      <c r="E116" s="29" t="s">
        <v>36</v>
      </c>
      <c r="R116" s="29" t="s">
        <v>656</v>
      </c>
      <c r="AE116" s="32" t="s">
        <v>36</v>
      </c>
      <c r="AJ116" s="45" t="s">
        <v>68</v>
      </c>
    </row>
    <row r="117" spans="5:36" ht="15">
      <c r="E117" s="29" t="s">
        <v>36</v>
      </c>
      <c r="R117" s="29" t="s">
        <v>656</v>
      </c>
      <c r="AE117" s="32" t="s">
        <v>36</v>
      </c>
      <c r="AJ117" s="45" t="s">
        <v>68</v>
      </c>
    </row>
    <row r="118" spans="5:36" ht="15">
      <c r="E118" s="29" t="s">
        <v>36</v>
      </c>
      <c r="R118" s="29" t="s">
        <v>657</v>
      </c>
      <c r="AE118" s="32" t="s">
        <v>36</v>
      </c>
      <c r="AJ118" s="45" t="s">
        <v>283</v>
      </c>
    </row>
    <row r="119" spans="5:36" ht="15">
      <c r="E119" s="29" t="s">
        <v>36</v>
      </c>
      <c r="R119" s="29" t="s">
        <v>657</v>
      </c>
      <c r="AE119" s="32" t="s">
        <v>36</v>
      </c>
      <c r="AJ119" s="45" t="s">
        <v>37</v>
      </c>
    </row>
    <row r="120" spans="5:36" ht="15">
      <c r="E120" s="29" t="s">
        <v>36</v>
      </c>
      <c r="R120" s="29" t="s">
        <v>657</v>
      </c>
      <c r="AE120" s="32" t="s">
        <v>36</v>
      </c>
      <c r="AJ120" s="45" t="s">
        <v>658</v>
      </c>
    </row>
    <row r="121" spans="5:36" ht="15">
      <c r="E121" s="29" t="s">
        <v>36</v>
      </c>
      <c r="R121" s="29" t="s">
        <v>656</v>
      </c>
      <c r="AE121" s="32" t="s">
        <v>90</v>
      </c>
      <c r="AJ121" s="45" t="s">
        <v>658</v>
      </c>
    </row>
    <row r="122" spans="5:36" ht="15">
      <c r="E122" s="29" t="s">
        <v>36</v>
      </c>
      <c r="R122" s="29" t="s">
        <v>657</v>
      </c>
      <c r="AE122" s="32" t="s">
        <v>36</v>
      </c>
      <c r="AJ122" s="45" t="s">
        <v>37</v>
      </c>
    </row>
    <row r="123" spans="5:36" ht="15">
      <c r="E123" s="29" t="s">
        <v>36</v>
      </c>
      <c r="R123" s="29" t="s">
        <v>657</v>
      </c>
      <c r="AE123" s="32" t="s">
        <v>36</v>
      </c>
      <c r="AJ123" s="45" t="s">
        <v>68</v>
      </c>
    </row>
    <row r="124" spans="5:36" ht="15">
      <c r="E124" s="29" t="s">
        <v>36</v>
      </c>
      <c r="R124" s="29" t="s">
        <v>656</v>
      </c>
      <c r="AE124" s="32" t="s">
        <v>36</v>
      </c>
      <c r="AJ124" s="45" t="s">
        <v>74</v>
      </c>
    </row>
    <row r="125" spans="5:36" ht="15">
      <c r="E125" s="29" t="s">
        <v>36</v>
      </c>
      <c r="R125" s="29" t="s">
        <v>657</v>
      </c>
      <c r="AE125" s="32" t="s">
        <v>36</v>
      </c>
      <c r="AJ125" s="45" t="s">
        <v>100</v>
      </c>
    </row>
    <row r="126" spans="5:36" ht="15">
      <c r="E126" s="29" t="s">
        <v>36</v>
      </c>
      <c r="R126" s="29" t="s">
        <v>656</v>
      </c>
      <c r="AE126" s="32" t="s">
        <v>90</v>
      </c>
      <c r="AJ126" s="45" t="s">
        <v>658</v>
      </c>
    </row>
    <row r="127" spans="5:36" ht="15">
      <c r="E127" s="29" t="s">
        <v>36</v>
      </c>
      <c r="R127" s="29" t="s">
        <v>656</v>
      </c>
      <c r="AE127" s="32" t="s">
        <v>36</v>
      </c>
      <c r="AJ127" s="45" t="s">
        <v>113</v>
      </c>
    </row>
    <row r="128" spans="5:36" ht="15">
      <c r="E128" s="29" t="s">
        <v>36</v>
      </c>
      <c r="R128" s="29" t="s">
        <v>657</v>
      </c>
      <c r="AE128" s="32" t="s">
        <v>36</v>
      </c>
      <c r="AJ128" s="45" t="s">
        <v>100</v>
      </c>
    </row>
    <row r="129" spans="5:36" ht="15">
      <c r="E129" s="29" t="s">
        <v>36</v>
      </c>
      <c r="R129" s="29" t="s">
        <v>657</v>
      </c>
      <c r="AE129" s="32" t="s">
        <v>36</v>
      </c>
      <c r="AJ129" s="45" t="s">
        <v>68</v>
      </c>
    </row>
    <row r="130" spans="5:36" ht="15">
      <c r="E130" s="29" t="s">
        <v>36</v>
      </c>
      <c r="R130" s="29" t="s">
        <v>657</v>
      </c>
      <c r="AE130" s="32" t="s">
        <v>36</v>
      </c>
      <c r="AJ130" s="45" t="s">
        <v>74</v>
      </c>
    </row>
    <row r="131" spans="5:36" ht="15">
      <c r="E131" s="29" t="s">
        <v>36</v>
      </c>
      <c r="R131" s="29" t="s">
        <v>656</v>
      </c>
      <c r="AE131" s="32" t="s">
        <v>36</v>
      </c>
      <c r="AJ131" s="45" t="s">
        <v>37</v>
      </c>
    </row>
    <row r="132" spans="5:36" ht="15">
      <c r="E132" s="29" t="s">
        <v>36</v>
      </c>
      <c r="R132" s="29" t="s">
        <v>657</v>
      </c>
      <c r="AE132" s="32" t="s">
        <v>36</v>
      </c>
      <c r="AJ132" s="45" t="s">
        <v>37</v>
      </c>
    </row>
    <row r="133" spans="5:36" ht="15">
      <c r="E133" s="29" t="s">
        <v>36</v>
      </c>
      <c r="R133" s="29" t="s">
        <v>657</v>
      </c>
      <c r="AE133" s="32" t="s">
        <v>36</v>
      </c>
      <c r="AJ133" s="45" t="s">
        <v>74</v>
      </c>
    </row>
    <row r="134" spans="5:36" ht="15">
      <c r="E134" s="29" t="s">
        <v>36</v>
      </c>
      <c r="R134" s="29" t="s">
        <v>656</v>
      </c>
      <c r="AE134" s="32" t="s">
        <v>36</v>
      </c>
      <c r="AJ134" s="45" t="s">
        <v>100</v>
      </c>
    </row>
    <row r="135" spans="5:36" ht="15">
      <c r="E135" s="29" t="s">
        <v>36</v>
      </c>
      <c r="R135" s="29" t="s">
        <v>656</v>
      </c>
      <c r="AE135" s="32" t="s">
        <v>36</v>
      </c>
      <c r="AJ135" s="45" t="s">
        <v>74</v>
      </c>
    </row>
    <row r="136" spans="5:36" ht="15">
      <c r="E136" s="29" t="s">
        <v>36</v>
      </c>
      <c r="R136" s="29" t="s">
        <v>656</v>
      </c>
      <c r="AE136" s="32" t="s">
        <v>90</v>
      </c>
      <c r="AJ136" s="45" t="s">
        <v>658</v>
      </c>
    </row>
    <row r="137" spans="5:36" ht="15">
      <c r="E137" s="29" t="s">
        <v>36</v>
      </c>
      <c r="R137" s="29" t="s">
        <v>657</v>
      </c>
      <c r="AE137" s="32" t="s">
        <v>90</v>
      </c>
      <c r="AJ137" s="45" t="s">
        <v>658</v>
      </c>
    </row>
    <row r="138" spans="5:36" ht="15">
      <c r="E138" s="29" t="s">
        <v>36</v>
      </c>
      <c r="R138" s="29" t="s">
        <v>657</v>
      </c>
      <c r="AE138" s="32" t="s">
        <v>36</v>
      </c>
      <c r="AJ138" s="45" t="s">
        <v>74</v>
      </c>
    </row>
    <row r="139" spans="5:36" ht="15">
      <c r="E139" s="29" t="s">
        <v>36</v>
      </c>
      <c r="R139" s="29" t="s">
        <v>656</v>
      </c>
      <c r="AE139" s="32" t="s">
        <v>36</v>
      </c>
      <c r="AJ139" s="45" t="s">
        <v>74</v>
      </c>
    </row>
    <row r="140" spans="5:36" ht="15">
      <c r="E140" s="29" t="s">
        <v>36</v>
      </c>
      <c r="R140" s="29" t="s">
        <v>656</v>
      </c>
      <c r="AE140" s="32" t="s">
        <v>36</v>
      </c>
      <c r="AJ140" s="45" t="s">
        <v>74</v>
      </c>
    </row>
    <row r="141" spans="5:36" ht="15">
      <c r="E141" s="29" t="s">
        <v>36</v>
      </c>
      <c r="R141" s="29" t="s">
        <v>657</v>
      </c>
      <c r="AE141" s="32" t="s">
        <v>36</v>
      </c>
      <c r="AJ141" s="45" t="s">
        <v>74</v>
      </c>
    </row>
    <row r="142" spans="5:36" ht="15">
      <c r="E142" s="29" t="s">
        <v>36</v>
      </c>
      <c r="R142" s="29" t="s">
        <v>656</v>
      </c>
      <c r="AE142" s="32" t="s">
        <v>36</v>
      </c>
      <c r="AJ142" s="45" t="s">
        <v>74</v>
      </c>
    </row>
    <row r="143" spans="5:36" ht="15">
      <c r="E143" s="29" t="s">
        <v>36</v>
      </c>
      <c r="R143" s="29" t="s">
        <v>657</v>
      </c>
      <c r="AE143" s="32" t="s">
        <v>36</v>
      </c>
      <c r="AJ143" s="45" t="s">
        <v>68</v>
      </c>
    </row>
    <row r="144" spans="5:36" ht="15">
      <c r="E144" s="29" t="s">
        <v>36</v>
      </c>
      <c r="R144" s="29" t="s">
        <v>656</v>
      </c>
      <c r="AE144" s="32" t="s">
        <v>36</v>
      </c>
      <c r="AJ144" s="45" t="s">
        <v>74</v>
      </c>
    </row>
    <row r="145" spans="5:36" ht="15">
      <c r="E145" s="29" t="s">
        <v>36</v>
      </c>
      <c r="R145" s="29" t="s">
        <v>656</v>
      </c>
      <c r="AE145" s="32" t="s">
        <v>90</v>
      </c>
      <c r="AJ145" s="45" t="s">
        <v>658</v>
      </c>
    </row>
    <row r="146" spans="5:36" ht="15">
      <c r="E146" s="29" t="s">
        <v>36</v>
      </c>
      <c r="R146" s="29" t="s">
        <v>656</v>
      </c>
      <c r="AE146" s="32" t="s">
        <v>90</v>
      </c>
      <c r="AJ146" s="45" t="s">
        <v>658</v>
      </c>
    </row>
    <row r="147" spans="5:36" ht="15">
      <c r="E147" s="29" t="s">
        <v>36</v>
      </c>
      <c r="R147" s="29" t="s">
        <v>657</v>
      </c>
      <c r="AE147" s="32" t="s">
        <v>36</v>
      </c>
      <c r="AJ147" s="45" t="s">
        <v>74</v>
      </c>
    </row>
    <row r="148" spans="5:36" ht="15">
      <c r="E148" s="29" t="s">
        <v>36</v>
      </c>
      <c r="R148" s="29" t="s">
        <v>657</v>
      </c>
      <c r="AE148" s="32" t="s">
        <v>36</v>
      </c>
      <c r="AJ148" s="45" t="s">
        <v>74</v>
      </c>
    </row>
    <row r="149" spans="5:36" ht="15">
      <c r="E149" s="29" t="s">
        <v>36</v>
      </c>
      <c r="R149" s="29" t="s">
        <v>656</v>
      </c>
      <c r="AE149" s="32" t="s">
        <v>36</v>
      </c>
      <c r="AJ149" s="45" t="s">
        <v>74</v>
      </c>
    </row>
    <row r="150" spans="5:36" ht="15">
      <c r="E150" s="29" t="s">
        <v>36</v>
      </c>
      <c r="R150" s="29" t="s">
        <v>656</v>
      </c>
      <c r="AE150" s="32" t="s">
        <v>36</v>
      </c>
      <c r="AJ150" s="45" t="s">
        <v>74</v>
      </c>
    </row>
    <row r="151" spans="5:36" ht="15">
      <c r="E151" s="29" t="s">
        <v>36</v>
      </c>
      <c r="R151" s="29" t="s">
        <v>657</v>
      </c>
      <c r="AE151" s="32" t="s">
        <v>90</v>
      </c>
      <c r="AJ151" s="45" t="s">
        <v>658</v>
      </c>
    </row>
    <row r="152" spans="5:36" ht="15">
      <c r="E152" s="29" t="s">
        <v>36</v>
      </c>
      <c r="R152" s="29" t="s">
        <v>657</v>
      </c>
      <c r="AE152" s="32" t="s">
        <v>36</v>
      </c>
      <c r="AJ152" s="45" t="s">
        <v>37</v>
      </c>
    </row>
    <row r="153" spans="5:36" ht="15">
      <c r="E153" s="29" t="s">
        <v>36</v>
      </c>
      <c r="R153" s="29" t="s">
        <v>656</v>
      </c>
      <c r="AE153" s="32" t="s">
        <v>90</v>
      </c>
      <c r="AJ153" s="45" t="s">
        <v>658</v>
      </c>
    </row>
    <row r="154" spans="5:36" ht="15">
      <c r="E154" s="29" t="s">
        <v>36</v>
      </c>
      <c r="R154" s="29" t="s">
        <v>657</v>
      </c>
      <c r="AE154" s="32" t="s">
        <v>90</v>
      </c>
      <c r="AJ154" s="45" t="s">
        <v>658</v>
      </c>
    </row>
    <row r="155" spans="5:36" ht="15">
      <c r="E155" s="29" t="s">
        <v>36</v>
      </c>
      <c r="R155" s="29" t="s">
        <v>657</v>
      </c>
      <c r="AE155" s="32" t="s">
        <v>36</v>
      </c>
      <c r="AJ155" s="45" t="s">
        <v>74</v>
      </c>
    </row>
    <row r="156" spans="5:36" ht="15">
      <c r="E156" s="29" t="s">
        <v>36</v>
      </c>
      <c r="R156" s="29" t="s">
        <v>657</v>
      </c>
      <c r="AE156" s="32" t="s">
        <v>36</v>
      </c>
      <c r="AJ156" s="45" t="s">
        <v>74</v>
      </c>
    </row>
    <row r="157" spans="5:36" ht="15">
      <c r="E157" s="29" t="s">
        <v>36</v>
      </c>
      <c r="R157" s="29" t="s">
        <v>656</v>
      </c>
      <c r="AE157" s="32" t="s">
        <v>36</v>
      </c>
      <c r="AJ157" s="45" t="s">
        <v>74</v>
      </c>
    </row>
    <row r="158" spans="5:36" ht="15">
      <c r="E158" s="29" t="s">
        <v>36</v>
      </c>
      <c r="R158" s="29" t="s">
        <v>657</v>
      </c>
      <c r="AE158" s="32" t="s">
        <v>90</v>
      </c>
      <c r="AJ158" s="45" t="s">
        <v>658</v>
      </c>
    </row>
    <row r="159" spans="5:36" ht="15">
      <c r="E159" s="29" t="s">
        <v>36</v>
      </c>
      <c r="R159" s="29" t="s">
        <v>660</v>
      </c>
      <c r="AE159" s="32" t="s">
        <v>90</v>
      </c>
      <c r="AJ159" s="45" t="s">
        <v>658</v>
      </c>
    </row>
    <row r="160" spans="5:36" ht="15">
      <c r="E160" s="29" t="s">
        <v>36</v>
      </c>
      <c r="R160" s="29" t="s">
        <v>656</v>
      </c>
      <c r="AE160" s="32" t="s">
        <v>90</v>
      </c>
      <c r="AJ160" s="45" t="s">
        <v>658</v>
      </c>
    </row>
    <row r="161" spans="5:36" ht="15">
      <c r="E161" s="29" t="s">
        <v>36</v>
      </c>
      <c r="R161" s="29" t="s">
        <v>657</v>
      </c>
      <c r="AE161" s="32" t="s">
        <v>36</v>
      </c>
      <c r="AJ161" s="45" t="s">
        <v>37</v>
      </c>
    </row>
    <row r="162" spans="5:36" ht="15">
      <c r="E162" s="29" t="s">
        <v>36</v>
      </c>
      <c r="R162" s="29" t="s">
        <v>657</v>
      </c>
      <c r="AE162" s="32" t="s">
        <v>36</v>
      </c>
      <c r="AJ162" s="45" t="s">
        <v>337</v>
      </c>
    </row>
    <row r="163" spans="5:36" ht="15">
      <c r="E163" s="29" t="s">
        <v>36</v>
      </c>
      <c r="R163" s="29" t="s">
        <v>656</v>
      </c>
      <c r="AE163" s="32" t="s">
        <v>36</v>
      </c>
      <c r="AJ163" s="45" t="s">
        <v>37</v>
      </c>
    </row>
    <row r="164" spans="5:36" ht="15">
      <c r="E164" s="29" t="s">
        <v>36</v>
      </c>
      <c r="R164" s="29" t="s">
        <v>656</v>
      </c>
      <c r="AE164" s="32" t="s">
        <v>36</v>
      </c>
      <c r="AJ164" s="45" t="s">
        <v>100</v>
      </c>
    </row>
    <row r="165" spans="5:36" ht="15">
      <c r="E165" s="29" t="s">
        <v>36</v>
      </c>
      <c r="R165" s="29" t="s">
        <v>656</v>
      </c>
      <c r="AE165" s="32" t="s">
        <v>90</v>
      </c>
      <c r="AJ165" s="45" t="s">
        <v>658</v>
      </c>
    </row>
    <row r="166" spans="5:36" ht="15">
      <c r="E166" s="29" t="s">
        <v>36</v>
      </c>
      <c r="R166" s="29" t="s">
        <v>656</v>
      </c>
      <c r="AE166" s="32" t="s">
        <v>36</v>
      </c>
      <c r="AJ166" s="45" t="s">
        <v>74</v>
      </c>
    </row>
    <row r="167" spans="5:36" ht="15">
      <c r="E167" s="29" t="s">
        <v>36</v>
      </c>
      <c r="R167" s="29" t="s">
        <v>656</v>
      </c>
      <c r="AE167" s="32" t="s">
        <v>36</v>
      </c>
      <c r="AJ167" s="45" t="s">
        <v>113</v>
      </c>
    </row>
    <row r="168" spans="5:36" ht="15">
      <c r="E168" s="29" t="s">
        <v>36</v>
      </c>
      <c r="R168" s="29" t="s">
        <v>657</v>
      </c>
      <c r="AE168" s="32" t="s">
        <v>36</v>
      </c>
      <c r="AJ168" s="45" t="s">
        <v>68</v>
      </c>
    </row>
    <row r="169" spans="5:36" ht="15">
      <c r="E169" s="29" t="s">
        <v>36</v>
      </c>
      <c r="R169" s="29" t="s">
        <v>657</v>
      </c>
      <c r="AE169" s="32" t="s">
        <v>36</v>
      </c>
      <c r="AJ169" s="45" t="s">
        <v>100</v>
      </c>
    </row>
    <row r="170" spans="5:36" ht="15">
      <c r="E170" s="29" t="s">
        <v>36</v>
      </c>
      <c r="R170" s="29" t="s">
        <v>656</v>
      </c>
      <c r="AE170" s="32" t="s">
        <v>36</v>
      </c>
      <c r="AJ170" s="45" t="s">
        <v>74</v>
      </c>
    </row>
    <row r="171" spans="5:36" ht="15">
      <c r="E171" s="29" t="s">
        <v>36</v>
      </c>
      <c r="R171" s="29" t="s">
        <v>657</v>
      </c>
      <c r="AE171" s="32" t="s">
        <v>36</v>
      </c>
      <c r="AJ171" s="45" t="s">
        <v>68</v>
      </c>
    </row>
    <row r="172" spans="5:36" ht="15">
      <c r="E172" s="29" t="s">
        <v>36</v>
      </c>
      <c r="R172" s="29" t="s">
        <v>656</v>
      </c>
      <c r="AE172" s="32" t="s">
        <v>36</v>
      </c>
      <c r="AJ172" s="45" t="s">
        <v>37</v>
      </c>
    </row>
    <row r="173" spans="5:36" ht="15">
      <c r="E173" s="29" t="s">
        <v>36</v>
      </c>
      <c r="R173" s="29" t="s">
        <v>657</v>
      </c>
      <c r="AE173" s="32" t="s">
        <v>36</v>
      </c>
      <c r="AJ173" s="45" t="s">
        <v>74</v>
      </c>
    </row>
    <row r="174" spans="5:36" ht="15">
      <c r="E174" s="29" t="s">
        <v>36</v>
      </c>
      <c r="R174" s="29" t="s">
        <v>656</v>
      </c>
      <c r="AE174" s="32" t="s">
        <v>36</v>
      </c>
      <c r="AJ174" s="45" t="s">
        <v>74</v>
      </c>
    </row>
    <row r="175" spans="5:36" ht="15">
      <c r="E175" s="29" t="s">
        <v>36</v>
      </c>
      <c r="R175" s="29" t="s">
        <v>656</v>
      </c>
      <c r="AE175" s="32" t="s">
        <v>36</v>
      </c>
      <c r="AJ175" s="45" t="s">
        <v>658</v>
      </c>
    </row>
    <row r="176" spans="5:36" ht="15">
      <c r="E176" s="29" t="s">
        <v>36</v>
      </c>
      <c r="R176" s="29" t="s">
        <v>656</v>
      </c>
      <c r="AE176" s="32" t="s">
        <v>36</v>
      </c>
      <c r="AJ176" s="45" t="s">
        <v>74</v>
      </c>
    </row>
    <row r="177" spans="5:36" ht="15">
      <c r="E177" s="29" t="s">
        <v>36</v>
      </c>
      <c r="R177" s="29" t="s">
        <v>657</v>
      </c>
      <c r="AE177" s="32" t="s">
        <v>36</v>
      </c>
      <c r="AJ177" s="45" t="s">
        <v>37</v>
      </c>
    </row>
    <row r="178" spans="5:36" ht="15">
      <c r="E178" s="29" t="s">
        <v>36</v>
      </c>
      <c r="R178" s="29" t="s">
        <v>657</v>
      </c>
      <c r="AE178" s="32" t="s">
        <v>36</v>
      </c>
      <c r="AJ178" s="45" t="s">
        <v>68</v>
      </c>
    </row>
    <row r="179" spans="5:36" ht="15">
      <c r="E179" s="29" t="s">
        <v>36</v>
      </c>
      <c r="R179" s="29" t="s">
        <v>657</v>
      </c>
      <c r="AE179" s="32" t="s">
        <v>36</v>
      </c>
      <c r="AJ179" s="45" t="s">
        <v>37</v>
      </c>
    </row>
    <row r="180" spans="5:36" ht="15">
      <c r="E180" s="29" t="s">
        <v>36</v>
      </c>
      <c r="R180" s="29" t="s">
        <v>656</v>
      </c>
      <c r="AE180" s="32" t="s">
        <v>36</v>
      </c>
      <c r="AJ180" s="45" t="s">
        <v>100</v>
      </c>
    </row>
    <row r="181" spans="5:36" ht="15">
      <c r="E181" s="29" t="s">
        <v>36</v>
      </c>
      <c r="R181" s="29" t="s">
        <v>657</v>
      </c>
      <c r="AE181" s="32" t="s">
        <v>36</v>
      </c>
      <c r="AJ181" s="45" t="s">
        <v>100</v>
      </c>
    </row>
    <row r="182" spans="5:36" ht="15">
      <c r="E182" s="29" t="s">
        <v>36</v>
      </c>
      <c r="R182" s="29" t="s">
        <v>657</v>
      </c>
      <c r="AE182" s="32" t="s">
        <v>36</v>
      </c>
      <c r="AJ182" s="45" t="s">
        <v>74</v>
      </c>
    </row>
    <row r="183" spans="5:36" ht="15">
      <c r="E183" s="29" t="s">
        <v>36</v>
      </c>
      <c r="R183" s="29" t="s">
        <v>656</v>
      </c>
      <c r="AE183" s="32" t="s">
        <v>36</v>
      </c>
      <c r="AJ183" s="45" t="s">
        <v>37</v>
      </c>
    </row>
    <row r="184" spans="5:36" ht="15">
      <c r="E184" s="29" t="s">
        <v>36</v>
      </c>
      <c r="R184" s="29" t="s">
        <v>656</v>
      </c>
      <c r="AE184" s="32" t="s">
        <v>36</v>
      </c>
      <c r="AJ184" s="45" t="s">
        <v>74</v>
      </c>
    </row>
    <row r="185" spans="5:36" ht="15">
      <c r="E185" s="29" t="s">
        <v>36</v>
      </c>
      <c r="R185" s="29" t="s">
        <v>656</v>
      </c>
      <c r="AE185" s="32" t="s">
        <v>36</v>
      </c>
      <c r="AJ185" s="45" t="s">
        <v>68</v>
      </c>
    </row>
    <row r="186" spans="5:36" ht="15">
      <c r="E186" s="29" t="s">
        <v>36</v>
      </c>
      <c r="R186" s="29" t="s">
        <v>656</v>
      </c>
      <c r="AE186" s="32" t="s">
        <v>36</v>
      </c>
      <c r="AJ186" s="45" t="s">
        <v>366</v>
      </c>
    </row>
    <row r="187" spans="5:36" ht="15">
      <c r="E187" s="29" t="s">
        <v>36</v>
      </c>
      <c r="R187" s="29" t="s">
        <v>657</v>
      </c>
      <c r="AE187" s="32" t="s">
        <v>36</v>
      </c>
      <c r="AJ187" s="45" t="s">
        <v>74</v>
      </c>
    </row>
    <row r="188" spans="5:36" ht="15">
      <c r="E188" s="29" t="s">
        <v>36</v>
      </c>
      <c r="R188" s="29" t="s">
        <v>656</v>
      </c>
      <c r="AE188" s="32" t="s">
        <v>36</v>
      </c>
      <c r="AJ188" s="45" t="s">
        <v>100</v>
      </c>
    </row>
    <row r="189" spans="5:36" ht="15">
      <c r="E189" s="29" t="s">
        <v>36</v>
      </c>
      <c r="R189" s="29" t="s">
        <v>657</v>
      </c>
      <c r="AE189" s="32" t="s">
        <v>36</v>
      </c>
      <c r="AJ189" s="45" t="s">
        <v>68</v>
      </c>
    </row>
    <row r="190" spans="5:36" ht="15">
      <c r="E190" s="29" t="s">
        <v>36</v>
      </c>
      <c r="R190" s="29" t="s">
        <v>656</v>
      </c>
      <c r="AE190" s="32" t="s">
        <v>36</v>
      </c>
      <c r="AJ190" s="45" t="s">
        <v>74</v>
      </c>
    </row>
    <row r="191" spans="5:36" ht="15">
      <c r="E191" s="29" t="s">
        <v>36</v>
      </c>
      <c r="R191" s="29" t="s">
        <v>656</v>
      </c>
      <c r="AE191" s="32" t="s">
        <v>36</v>
      </c>
      <c r="AJ191" s="45" t="s">
        <v>68</v>
      </c>
    </row>
    <row r="192" spans="5:36" ht="15">
      <c r="E192" s="29" t="s">
        <v>36</v>
      </c>
      <c r="R192" s="29" t="s">
        <v>657</v>
      </c>
      <c r="AE192" s="32" t="s">
        <v>36</v>
      </c>
      <c r="AJ192" s="45" t="s">
        <v>68</v>
      </c>
    </row>
    <row r="193" spans="5:36" ht="15">
      <c r="E193" s="29" t="s">
        <v>36</v>
      </c>
      <c r="R193" s="29" t="s">
        <v>656</v>
      </c>
      <c r="AE193" s="32" t="s">
        <v>36</v>
      </c>
      <c r="AJ193" s="45" t="s">
        <v>74</v>
      </c>
    </row>
    <row r="194" spans="5:36" ht="15">
      <c r="E194" s="29" t="s">
        <v>36</v>
      </c>
      <c r="R194" s="29" t="s">
        <v>656</v>
      </c>
      <c r="AE194" s="32" t="s">
        <v>90</v>
      </c>
      <c r="AJ194" s="45" t="s">
        <v>658</v>
      </c>
    </row>
    <row r="195" spans="5:36" ht="15">
      <c r="E195" s="29" t="s">
        <v>36</v>
      </c>
      <c r="R195" s="29" t="s">
        <v>656</v>
      </c>
      <c r="AE195" s="32" t="s">
        <v>36</v>
      </c>
      <c r="AJ195" s="45" t="s">
        <v>113</v>
      </c>
    </row>
    <row r="196" spans="5:36" ht="15">
      <c r="E196" s="29" t="s">
        <v>36</v>
      </c>
      <c r="R196" s="29" t="s">
        <v>657</v>
      </c>
      <c r="AE196" s="32" t="s">
        <v>36</v>
      </c>
      <c r="AJ196" s="45" t="s">
        <v>68</v>
      </c>
    </row>
    <row r="197" spans="5:36" ht="15">
      <c r="E197" s="29" t="s">
        <v>36</v>
      </c>
      <c r="R197" s="29" t="s">
        <v>656</v>
      </c>
      <c r="AE197" s="32" t="s">
        <v>36</v>
      </c>
      <c r="AJ197" s="45" t="s">
        <v>68</v>
      </c>
    </row>
    <row r="198" spans="5:36" ht="15">
      <c r="E198" s="29" t="s">
        <v>36</v>
      </c>
      <c r="R198" s="29" t="s">
        <v>656</v>
      </c>
      <c r="AE198" s="32" t="s">
        <v>90</v>
      </c>
      <c r="AJ198" s="45" t="s">
        <v>658</v>
      </c>
    </row>
    <row r="199" spans="5:36" ht="15">
      <c r="E199" s="29" t="s">
        <v>36</v>
      </c>
      <c r="R199" s="29" t="s">
        <v>656</v>
      </c>
      <c r="AE199" s="32" t="s">
        <v>36</v>
      </c>
      <c r="AJ199" s="45" t="s">
        <v>100</v>
      </c>
    </row>
    <row r="200" spans="5:36" ht="15">
      <c r="E200" s="29" t="s">
        <v>36</v>
      </c>
      <c r="R200" s="29" t="s">
        <v>657</v>
      </c>
      <c r="AE200" s="32" t="s">
        <v>36</v>
      </c>
      <c r="AJ200" s="45" t="s">
        <v>68</v>
      </c>
    </row>
    <row r="201" spans="5:36" ht="15">
      <c r="E201" s="29" t="s">
        <v>36</v>
      </c>
      <c r="R201" s="29" t="s">
        <v>656</v>
      </c>
      <c r="AE201" s="32" t="s">
        <v>36</v>
      </c>
      <c r="AJ201" s="45" t="s">
        <v>68</v>
      </c>
    </row>
    <row r="202" spans="5:36" ht="15">
      <c r="E202" s="29" t="s">
        <v>36</v>
      </c>
      <c r="R202" s="29" t="s">
        <v>660</v>
      </c>
      <c r="AE202" s="32" t="s">
        <v>36</v>
      </c>
      <c r="AJ202" s="45" t="s">
        <v>68</v>
      </c>
    </row>
    <row r="203" spans="5:36" ht="15">
      <c r="E203" s="29" t="s">
        <v>36</v>
      </c>
      <c r="R203" s="29" t="s">
        <v>656</v>
      </c>
      <c r="AE203" s="32" t="s">
        <v>36</v>
      </c>
      <c r="AJ203" s="45" t="s">
        <v>74</v>
      </c>
    </row>
    <row r="204" spans="5:36" ht="15">
      <c r="E204" s="29" t="s">
        <v>36</v>
      </c>
      <c r="R204" s="29" t="s">
        <v>657</v>
      </c>
      <c r="AE204" s="32" t="s">
        <v>36</v>
      </c>
      <c r="AJ204" s="45" t="s">
        <v>68</v>
      </c>
    </row>
    <row r="205" spans="5:36" ht="15">
      <c r="E205" s="29" t="s">
        <v>36</v>
      </c>
      <c r="R205" s="29" t="s">
        <v>657</v>
      </c>
      <c r="AE205" s="32" t="s">
        <v>36</v>
      </c>
      <c r="AJ205" s="45" t="s">
        <v>74</v>
      </c>
    </row>
    <row r="206" spans="5:36" ht="15">
      <c r="E206" s="29" t="s">
        <v>36</v>
      </c>
      <c r="R206" s="29" t="s">
        <v>656</v>
      </c>
      <c r="AE206" s="32" t="s">
        <v>36</v>
      </c>
      <c r="AJ206" s="45" t="s">
        <v>37</v>
      </c>
    </row>
    <row r="207" spans="5:36" ht="15">
      <c r="E207" s="29" t="s">
        <v>36</v>
      </c>
      <c r="R207" s="29" t="s">
        <v>656</v>
      </c>
      <c r="AE207" s="32" t="s">
        <v>36</v>
      </c>
      <c r="AJ207" s="45" t="s">
        <v>74</v>
      </c>
    </row>
    <row r="208" spans="5:36" ht="15">
      <c r="E208" s="29" t="s">
        <v>36</v>
      </c>
      <c r="R208" s="29" t="s">
        <v>656</v>
      </c>
      <c r="AE208" s="32" t="s">
        <v>36</v>
      </c>
      <c r="AJ208" s="45" t="s">
        <v>68</v>
      </c>
    </row>
    <row r="209" spans="5:36" ht="15">
      <c r="E209" s="29" t="s">
        <v>36</v>
      </c>
      <c r="R209" s="29" t="s">
        <v>657</v>
      </c>
      <c r="AE209" s="32" t="s">
        <v>36</v>
      </c>
      <c r="AJ209" s="45" t="s">
        <v>74</v>
      </c>
    </row>
    <row r="210" spans="5:36" ht="15">
      <c r="E210" s="29" t="s">
        <v>36</v>
      </c>
      <c r="R210" s="29" t="s">
        <v>656</v>
      </c>
      <c r="AE210" s="32" t="s">
        <v>36</v>
      </c>
      <c r="AJ210" s="45" t="s">
        <v>68</v>
      </c>
    </row>
    <row r="211" spans="5:36" ht="15">
      <c r="E211" s="29" t="s">
        <v>36</v>
      </c>
      <c r="R211" s="29" t="s">
        <v>656</v>
      </c>
      <c r="AE211" s="32" t="s">
        <v>36</v>
      </c>
      <c r="AJ211" s="45" t="s">
        <v>37</v>
      </c>
    </row>
    <row r="212" spans="5:36" ht="15">
      <c r="E212" s="29" t="s">
        <v>36</v>
      </c>
      <c r="R212" s="29" t="s">
        <v>656</v>
      </c>
      <c r="AE212" s="32" t="s">
        <v>36</v>
      </c>
      <c r="AJ212" s="45" t="s">
        <v>74</v>
      </c>
    </row>
    <row r="213" spans="5:36" ht="15">
      <c r="E213" s="29" t="s">
        <v>36</v>
      </c>
      <c r="R213" s="29" t="s">
        <v>656</v>
      </c>
      <c r="AE213" s="32" t="s">
        <v>36</v>
      </c>
      <c r="AJ213" s="45" t="s">
        <v>113</v>
      </c>
    </row>
    <row r="214" spans="5:36" ht="15">
      <c r="E214" s="29" t="s">
        <v>36</v>
      </c>
      <c r="R214" s="29" t="s">
        <v>656</v>
      </c>
      <c r="AE214" s="32" t="s">
        <v>36</v>
      </c>
      <c r="AJ214" s="45" t="s">
        <v>68</v>
      </c>
    </row>
    <row r="215" spans="5:36" ht="15">
      <c r="E215" s="29" t="s">
        <v>36</v>
      </c>
      <c r="R215" s="29" t="s">
        <v>657</v>
      </c>
      <c r="AE215" s="32" t="s">
        <v>36</v>
      </c>
      <c r="AJ215" s="45" t="s">
        <v>37</v>
      </c>
    </row>
    <row r="216" spans="5:36" ht="15">
      <c r="E216" s="29" t="s">
        <v>36</v>
      </c>
      <c r="R216" s="29" t="s">
        <v>657</v>
      </c>
      <c r="AE216" s="32" t="s">
        <v>36</v>
      </c>
      <c r="AJ216" s="45" t="s">
        <v>74</v>
      </c>
    </row>
    <row r="217" spans="5:36" ht="15">
      <c r="E217" s="29" t="s">
        <v>36</v>
      </c>
      <c r="R217" s="29" t="s">
        <v>657</v>
      </c>
      <c r="AE217" s="32" t="s">
        <v>36</v>
      </c>
      <c r="AJ217" s="45" t="s">
        <v>68</v>
      </c>
    </row>
    <row r="218" spans="5:36" ht="15">
      <c r="E218" s="29" t="s">
        <v>36</v>
      </c>
      <c r="R218" s="29" t="s">
        <v>657</v>
      </c>
      <c r="AE218" s="32" t="s">
        <v>36</v>
      </c>
      <c r="AJ218" s="45" t="s">
        <v>37</v>
      </c>
    </row>
    <row r="219" spans="5:36" ht="15">
      <c r="E219" s="29" t="s">
        <v>36</v>
      </c>
      <c r="R219" s="29" t="s">
        <v>656</v>
      </c>
      <c r="AE219" s="32" t="s">
        <v>36</v>
      </c>
      <c r="AJ219" s="45" t="s">
        <v>37</v>
      </c>
    </row>
    <row r="220" spans="5:36" ht="15">
      <c r="E220" s="29" t="s">
        <v>36</v>
      </c>
      <c r="R220" s="29" t="s">
        <v>657</v>
      </c>
      <c r="AE220" s="32" t="s">
        <v>36</v>
      </c>
      <c r="AJ220" s="45" t="s">
        <v>37</v>
      </c>
    </row>
    <row r="221" spans="5:36" ht="15">
      <c r="E221" s="29" t="s">
        <v>36</v>
      </c>
      <c r="R221" s="29" t="s">
        <v>656</v>
      </c>
      <c r="AE221" s="32" t="s">
        <v>36</v>
      </c>
      <c r="AJ221" s="45" t="s">
        <v>74</v>
      </c>
    </row>
    <row r="222" spans="5:36" ht="15">
      <c r="E222" s="29" t="s">
        <v>36</v>
      </c>
      <c r="R222" s="29" t="s">
        <v>657</v>
      </c>
      <c r="AE222" s="32" t="s">
        <v>36</v>
      </c>
      <c r="AJ222" s="45" t="s">
        <v>74</v>
      </c>
    </row>
    <row r="223" spans="5:36" ht="15">
      <c r="E223" s="29" t="s">
        <v>36</v>
      </c>
      <c r="R223" s="29" t="s">
        <v>657</v>
      </c>
      <c r="AE223" s="32" t="s">
        <v>36</v>
      </c>
      <c r="AJ223" s="45" t="s">
        <v>37</v>
      </c>
    </row>
    <row r="224" spans="5:36" ht="15">
      <c r="E224" s="29" t="s">
        <v>36</v>
      </c>
      <c r="R224" s="29" t="s">
        <v>656</v>
      </c>
      <c r="AE224" s="32" t="s">
        <v>36</v>
      </c>
      <c r="AJ224" s="45" t="s">
        <v>74</v>
      </c>
    </row>
    <row r="225" spans="5:36" ht="15">
      <c r="E225" s="29" t="s">
        <v>36</v>
      </c>
      <c r="R225" s="29" t="s">
        <v>656</v>
      </c>
      <c r="AE225" s="32" t="s">
        <v>36</v>
      </c>
      <c r="AJ225" s="45" t="s">
        <v>68</v>
      </c>
    </row>
    <row r="226" spans="5:36" ht="15">
      <c r="E226" s="29" t="s">
        <v>36</v>
      </c>
      <c r="R226" s="29" t="s">
        <v>657</v>
      </c>
      <c r="AE226" s="32" t="s">
        <v>36</v>
      </c>
      <c r="AJ226" s="45" t="s">
        <v>37</v>
      </c>
    </row>
    <row r="227" spans="5:36" ht="15">
      <c r="E227" s="29" t="s">
        <v>36</v>
      </c>
      <c r="R227" s="29" t="s">
        <v>656</v>
      </c>
      <c r="AE227" s="32" t="s">
        <v>36</v>
      </c>
      <c r="AJ227" s="45" t="s">
        <v>74</v>
      </c>
    </row>
    <row r="228" spans="5:36" ht="15">
      <c r="E228" s="29" t="s">
        <v>36</v>
      </c>
      <c r="R228" s="29" t="s">
        <v>657</v>
      </c>
      <c r="AE228" s="32" t="s">
        <v>36</v>
      </c>
      <c r="AJ228" s="45" t="s">
        <v>37</v>
      </c>
    </row>
    <row r="229" spans="5:36" ht="15">
      <c r="E229" s="29" t="s">
        <v>36</v>
      </c>
      <c r="R229" s="29" t="s">
        <v>657</v>
      </c>
      <c r="AE229" s="32" t="s">
        <v>36</v>
      </c>
      <c r="AJ229" s="45" t="s">
        <v>37</v>
      </c>
    </row>
    <row r="230" spans="5:36" ht="15">
      <c r="E230" s="29" t="s">
        <v>36</v>
      </c>
      <c r="R230" s="29" t="s">
        <v>657</v>
      </c>
      <c r="AE230" s="32" t="s">
        <v>36</v>
      </c>
      <c r="AJ230" s="45" t="s">
        <v>68</v>
      </c>
    </row>
    <row r="231" spans="5:36" ht="15">
      <c r="E231" s="29" t="s">
        <v>36</v>
      </c>
      <c r="R231" s="29" t="s">
        <v>656</v>
      </c>
      <c r="AE231" s="32" t="s">
        <v>36</v>
      </c>
      <c r="AJ231" s="45" t="s">
        <v>68</v>
      </c>
    </row>
    <row r="232" spans="5:36" ht="15">
      <c r="E232" s="29" t="s">
        <v>36</v>
      </c>
      <c r="R232" s="29" t="s">
        <v>657</v>
      </c>
      <c r="AE232" s="32" t="s">
        <v>36</v>
      </c>
      <c r="AJ232" s="45" t="s">
        <v>100</v>
      </c>
    </row>
    <row r="233" spans="5:36" ht="15">
      <c r="E233" s="29" t="s">
        <v>36</v>
      </c>
      <c r="R233" s="29" t="s">
        <v>657</v>
      </c>
      <c r="AE233" s="32" t="s">
        <v>36</v>
      </c>
      <c r="AJ233" s="45" t="s">
        <v>100</v>
      </c>
    </row>
    <row r="234" spans="5:36" ht="15">
      <c r="E234" s="29" t="s">
        <v>36</v>
      </c>
      <c r="R234" s="29" t="s">
        <v>656</v>
      </c>
      <c r="AE234" s="32" t="s">
        <v>36</v>
      </c>
      <c r="AJ234" s="45" t="s">
        <v>37</v>
      </c>
    </row>
    <row r="235" spans="5:36" ht="15">
      <c r="E235" s="29" t="s">
        <v>36</v>
      </c>
      <c r="R235" s="29" t="s">
        <v>657</v>
      </c>
      <c r="AE235" s="32" t="s">
        <v>36</v>
      </c>
      <c r="AJ235" s="45" t="s">
        <v>74</v>
      </c>
    </row>
    <row r="236" spans="5:36" ht="15">
      <c r="E236" s="29" t="s">
        <v>36</v>
      </c>
      <c r="R236" s="29" t="s">
        <v>656</v>
      </c>
      <c r="AE236" s="32" t="s">
        <v>36</v>
      </c>
      <c r="AJ236" s="45" t="s">
        <v>74</v>
      </c>
    </row>
    <row r="237" spans="5:36" ht="15">
      <c r="E237" s="29" t="s">
        <v>36</v>
      </c>
      <c r="R237" s="29" t="s">
        <v>657</v>
      </c>
      <c r="AE237" s="32" t="s">
        <v>36</v>
      </c>
      <c r="AJ237" s="45" t="s">
        <v>100</v>
      </c>
    </row>
    <row r="238" spans="5:36" ht="15">
      <c r="E238" s="29" t="s">
        <v>36</v>
      </c>
      <c r="R238" s="29" t="s">
        <v>657</v>
      </c>
      <c r="AE238" s="32" t="s">
        <v>36</v>
      </c>
      <c r="AJ238" s="45" t="s">
        <v>37</v>
      </c>
    </row>
    <row r="239" spans="5:36" ht="15">
      <c r="E239" s="29" t="s">
        <v>36</v>
      </c>
      <c r="R239" s="29" t="s">
        <v>656</v>
      </c>
      <c r="AE239" s="32" t="s">
        <v>90</v>
      </c>
      <c r="AJ239" s="45" t="s">
        <v>658</v>
      </c>
    </row>
    <row r="240" spans="5:36" ht="15">
      <c r="E240" s="29" t="s">
        <v>36</v>
      </c>
      <c r="R240" s="29" t="s">
        <v>657</v>
      </c>
      <c r="AE240" s="32" t="s">
        <v>36</v>
      </c>
      <c r="AJ240" s="45" t="s">
        <v>37</v>
      </c>
    </row>
    <row r="241" spans="5:36" ht="15">
      <c r="E241" s="29" t="s">
        <v>36</v>
      </c>
      <c r="R241" s="29" t="s">
        <v>656</v>
      </c>
      <c r="AE241" s="32" t="s">
        <v>90</v>
      </c>
      <c r="AJ241" s="45" t="s">
        <v>658</v>
      </c>
    </row>
    <row r="242" spans="5:36" ht="15">
      <c r="E242" s="29" t="s">
        <v>36</v>
      </c>
      <c r="R242" s="29" t="s">
        <v>657</v>
      </c>
      <c r="AE242" s="32" t="s">
        <v>36</v>
      </c>
      <c r="AJ242" s="45" t="s">
        <v>37</v>
      </c>
    </row>
    <row r="243" spans="5:36" ht="15">
      <c r="E243" s="29" t="s">
        <v>36</v>
      </c>
      <c r="R243" s="29" t="s">
        <v>657</v>
      </c>
      <c r="AE243" s="32" t="s">
        <v>36</v>
      </c>
      <c r="AJ243" s="45" t="s">
        <v>68</v>
      </c>
    </row>
    <row r="244" spans="5:36" ht="15">
      <c r="E244" s="29" t="s">
        <v>36</v>
      </c>
      <c r="R244" s="29" t="s">
        <v>656</v>
      </c>
      <c r="AE244" s="32" t="s">
        <v>36</v>
      </c>
      <c r="AJ244" s="45" t="s">
        <v>74</v>
      </c>
    </row>
    <row r="245" spans="5:36" ht="15">
      <c r="E245" s="29" t="s">
        <v>36</v>
      </c>
      <c r="R245" s="29" t="s">
        <v>657</v>
      </c>
      <c r="AE245" s="32" t="s">
        <v>36</v>
      </c>
      <c r="AJ245" s="45" t="s">
        <v>100</v>
      </c>
    </row>
    <row r="246" spans="5:36" ht="15">
      <c r="E246" s="29" t="s">
        <v>36</v>
      </c>
      <c r="R246" s="29" t="s">
        <v>657</v>
      </c>
      <c r="AE246" s="32" t="s">
        <v>36</v>
      </c>
      <c r="AJ246" s="45" t="s">
        <v>100</v>
      </c>
    </row>
    <row r="247" spans="5:36" ht="15">
      <c r="E247" s="29" t="s">
        <v>36</v>
      </c>
      <c r="R247" s="29" t="s">
        <v>657</v>
      </c>
      <c r="AE247" s="32" t="s">
        <v>36</v>
      </c>
      <c r="AJ247" s="45" t="s">
        <v>74</v>
      </c>
    </row>
    <row r="248" spans="5:36" ht="15">
      <c r="E248" s="29" t="s">
        <v>36</v>
      </c>
      <c r="R248" s="29" t="s">
        <v>657</v>
      </c>
      <c r="AE248" s="32" t="s">
        <v>36</v>
      </c>
      <c r="AJ248" s="45" t="s">
        <v>74</v>
      </c>
    </row>
    <row r="249" spans="5:36" ht="15">
      <c r="E249" s="29" t="s">
        <v>36</v>
      </c>
      <c r="R249" s="29" t="s">
        <v>657</v>
      </c>
      <c r="AE249" s="32" t="s">
        <v>36</v>
      </c>
      <c r="AJ249" s="45" t="s">
        <v>68</v>
      </c>
    </row>
    <row r="250" spans="5:36" ht="15">
      <c r="E250" s="29" t="s">
        <v>36</v>
      </c>
      <c r="R250" s="29" t="s">
        <v>656</v>
      </c>
      <c r="AE250" s="32" t="s">
        <v>36</v>
      </c>
      <c r="AJ250" s="45" t="s">
        <v>37</v>
      </c>
    </row>
    <row r="251" spans="5:36" ht="15">
      <c r="E251" s="29" t="s">
        <v>36</v>
      </c>
      <c r="R251" s="29" t="s">
        <v>657</v>
      </c>
      <c r="AE251" s="32" t="s">
        <v>36</v>
      </c>
      <c r="AJ251" s="45" t="s">
        <v>74</v>
      </c>
    </row>
    <row r="252" spans="5:36" ht="15">
      <c r="E252" s="29" t="s">
        <v>36</v>
      </c>
      <c r="R252" s="29" t="s">
        <v>656</v>
      </c>
      <c r="AE252" s="32" t="s">
        <v>36</v>
      </c>
      <c r="AJ252" s="45" t="s">
        <v>74</v>
      </c>
    </row>
    <row r="253" spans="5:36" ht="15">
      <c r="E253" s="29" t="s">
        <v>36</v>
      </c>
      <c r="R253" s="29" t="s">
        <v>657</v>
      </c>
      <c r="AE253" s="32" t="s">
        <v>36</v>
      </c>
      <c r="AJ253" s="45" t="s">
        <v>74</v>
      </c>
    </row>
    <row r="254" spans="5:36" ht="15">
      <c r="E254" s="29" t="s">
        <v>36</v>
      </c>
      <c r="R254" s="29" t="s">
        <v>657</v>
      </c>
      <c r="AE254" s="32" t="s">
        <v>90</v>
      </c>
      <c r="AJ254" s="45" t="s">
        <v>658</v>
      </c>
    </row>
    <row r="255" spans="5:36" ht="15">
      <c r="E255" s="29" t="s">
        <v>36</v>
      </c>
      <c r="R255" s="29" t="s">
        <v>657</v>
      </c>
      <c r="AE255" s="32" t="s">
        <v>36</v>
      </c>
      <c r="AJ255" s="45" t="s">
        <v>74</v>
      </c>
    </row>
    <row r="256" spans="5:36" ht="15">
      <c r="E256" s="29" t="s">
        <v>36</v>
      </c>
      <c r="R256" s="29" t="s">
        <v>657</v>
      </c>
      <c r="AE256" s="32" t="s">
        <v>36</v>
      </c>
      <c r="AJ256" s="45" t="s">
        <v>100</v>
      </c>
    </row>
    <row r="257" spans="5:36" ht="15">
      <c r="E257" s="29" t="s">
        <v>36</v>
      </c>
      <c r="R257" s="29" t="s">
        <v>656</v>
      </c>
      <c r="AE257" s="32" t="s">
        <v>36</v>
      </c>
      <c r="AJ257" s="45" t="s">
        <v>113</v>
      </c>
    </row>
    <row r="258" spans="5:36" ht="15">
      <c r="E258" s="29" t="s">
        <v>36</v>
      </c>
      <c r="R258" s="29" t="s">
        <v>656</v>
      </c>
      <c r="AE258" s="32" t="s">
        <v>36</v>
      </c>
      <c r="AJ258" s="45" t="s">
        <v>74</v>
      </c>
    </row>
    <row r="259" spans="5:36" ht="15">
      <c r="E259" s="29" t="s">
        <v>36</v>
      </c>
      <c r="R259" s="29" t="s">
        <v>657</v>
      </c>
      <c r="AE259" s="32" t="s">
        <v>36</v>
      </c>
      <c r="AJ259" s="45" t="s">
        <v>74</v>
      </c>
    </row>
    <row r="260" spans="5:36" ht="15">
      <c r="E260" s="29" t="s">
        <v>36</v>
      </c>
      <c r="R260" s="29" t="s">
        <v>656</v>
      </c>
      <c r="AE260" s="32" t="s">
        <v>36</v>
      </c>
      <c r="AJ260" s="45" t="s">
        <v>68</v>
      </c>
    </row>
    <row r="261" spans="5:36" ht="15">
      <c r="E261" s="29" t="s">
        <v>36</v>
      </c>
      <c r="R261" s="29" t="s">
        <v>657</v>
      </c>
      <c r="AE261" s="32" t="s">
        <v>36</v>
      </c>
      <c r="AJ261" s="45" t="s">
        <v>74</v>
      </c>
    </row>
    <row r="262" spans="5:36" ht="15">
      <c r="E262" s="29" t="s">
        <v>36</v>
      </c>
      <c r="R262" s="29" t="s">
        <v>656</v>
      </c>
      <c r="AE262" s="32" t="s">
        <v>36</v>
      </c>
      <c r="AJ262" s="45" t="s">
        <v>74</v>
      </c>
    </row>
    <row r="263" spans="5:36" ht="15">
      <c r="E263" s="29" t="s">
        <v>36</v>
      </c>
      <c r="R263" s="29" t="s">
        <v>657</v>
      </c>
      <c r="AE263" s="32" t="s">
        <v>90</v>
      </c>
      <c r="AJ263" s="45" t="s">
        <v>658</v>
      </c>
    </row>
    <row r="264" spans="5:36" ht="15">
      <c r="E264" s="29" t="s">
        <v>36</v>
      </c>
      <c r="R264" s="29" t="s">
        <v>656</v>
      </c>
      <c r="AE264" s="32" t="s">
        <v>90</v>
      </c>
      <c r="AJ264" s="45" t="s">
        <v>658</v>
      </c>
    </row>
    <row r="265" spans="5:36" ht="15">
      <c r="E265" s="29" t="s">
        <v>36</v>
      </c>
      <c r="R265" s="29" t="s">
        <v>656</v>
      </c>
      <c r="AE265" s="32" t="s">
        <v>36</v>
      </c>
      <c r="AJ265" s="45" t="s">
        <v>37</v>
      </c>
    </row>
    <row r="266" spans="5:36" ht="15">
      <c r="E266" s="29" t="s">
        <v>36</v>
      </c>
      <c r="R266" s="29" t="s">
        <v>657</v>
      </c>
      <c r="AE266" s="32" t="s">
        <v>36</v>
      </c>
      <c r="AJ266" s="45" t="s">
        <v>68</v>
      </c>
    </row>
    <row r="267" spans="5:36" ht="15">
      <c r="E267" s="29" t="s">
        <v>36</v>
      </c>
      <c r="R267" s="29" t="s">
        <v>657</v>
      </c>
      <c r="AE267" s="32" t="s">
        <v>36</v>
      </c>
      <c r="AJ267" s="45" t="s">
        <v>74</v>
      </c>
    </row>
    <row r="268" spans="5:36" ht="15">
      <c r="E268" s="29" t="s">
        <v>36</v>
      </c>
      <c r="R268" s="29" t="s">
        <v>657</v>
      </c>
      <c r="AE268" s="32" t="s">
        <v>36</v>
      </c>
      <c r="AJ268" s="45" t="s">
        <v>37</v>
      </c>
    </row>
    <row r="269" spans="5:36" ht="15">
      <c r="E269" s="29" t="s">
        <v>36</v>
      </c>
      <c r="R269" s="29" t="s">
        <v>657</v>
      </c>
      <c r="AE269" s="32" t="s">
        <v>36</v>
      </c>
      <c r="AJ269" s="45" t="s">
        <v>113</v>
      </c>
    </row>
    <row r="270" spans="5:36" ht="15">
      <c r="E270" s="29" t="s">
        <v>36</v>
      </c>
      <c r="R270" s="29" t="s">
        <v>657</v>
      </c>
      <c r="AE270" s="32" t="s">
        <v>36</v>
      </c>
      <c r="AJ270" s="45" t="s">
        <v>74</v>
      </c>
    </row>
    <row r="271" spans="5:36" ht="15">
      <c r="E271" s="29" t="s">
        <v>36</v>
      </c>
      <c r="R271" s="29" t="s">
        <v>657</v>
      </c>
      <c r="AE271" s="32" t="s">
        <v>36</v>
      </c>
      <c r="AJ271" s="45" t="s">
        <v>37</v>
      </c>
    </row>
    <row r="272" spans="5:36" ht="15">
      <c r="E272" s="29" t="s">
        <v>36</v>
      </c>
      <c r="R272" s="29" t="s">
        <v>657</v>
      </c>
      <c r="AE272" s="32" t="s">
        <v>90</v>
      </c>
      <c r="AJ272" s="45" t="s">
        <v>658</v>
      </c>
    </row>
    <row r="273" spans="5:36" ht="15">
      <c r="E273" s="29" t="s">
        <v>36</v>
      </c>
      <c r="R273" s="29" t="s">
        <v>657</v>
      </c>
      <c r="AE273" s="32" t="s">
        <v>36</v>
      </c>
      <c r="AJ273" s="45" t="s">
        <v>37</v>
      </c>
    </row>
    <row r="274" spans="5:36" ht="15">
      <c r="E274" s="29" t="s">
        <v>36</v>
      </c>
      <c r="R274" s="29" t="s">
        <v>657</v>
      </c>
      <c r="AE274" s="32" t="s">
        <v>36</v>
      </c>
      <c r="AJ274" s="45" t="s">
        <v>68</v>
      </c>
    </row>
    <row r="275" spans="5:36" ht="15">
      <c r="E275" s="29" t="s">
        <v>36</v>
      </c>
      <c r="R275" s="29" t="s">
        <v>657</v>
      </c>
      <c r="AE275" s="32" t="s">
        <v>90</v>
      </c>
      <c r="AJ275" s="45" t="s">
        <v>658</v>
      </c>
    </row>
    <row r="276" spans="5:36" ht="15">
      <c r="E276" s="29" t="s">
        <v>36</v>
      </c>
      <c r="R276" s="29" t="s">
        <v>657</v>
      </c>
      <c r="AE276" s="32" t="s">
        <v>36</v>
      </c>
      <c r="AJ276" s="45" t="s">
        <v>74</v>
      </c>
    </row>
    <row r="277" spans="5:36" ht="15">
      <c r="E277" s="29" t="s">
        <v>36</v>
      </c>
      <c r="R277" s="29" t="s">
        <v>657</v>
      </c>
      <c r="AE277" s="32" t="s">
        <v>36</v>
      </c>
      <c r="AJ277" s="45" t="s">
        <v>68</v>
      </c>
    </row>
    <row r="278" spans="5:36" ht="15">
      <c r="E278" s="29" t="s">
        <v>36</v>
      </c>
      <c r="R278" s="29" t="s">
        <v>657</v>
      </c>
      <c r="AE278" s="32" t="s">
        <v>36</v>
      </c>
      <c r="AJ278" s="45" t="s">
        <v>37</v>
      </c>
    </row>
    <row r="279" spans="5:36" ht="15">
      <c r="E279" s="29" t="s">
        <v>36</v>
      </c>
      <c r="R279" s="29" t="s">
        <v>657</v>
      </c>
      <c r="AE279" s="32" t="s">
        <v>36</v>
      </c>
      <c r="AJ279" s="45" t="s">
        <v>100</v>
      </c>
    </row>
    <row r="280" spans="5:36" ht="15">
      <c r="E280" s="29" t="s">
        <v>36</v>
      </c>
      <c r="R280" s="29" t="s">
        <v>657</v>
      </c>
      <c r="AE280" s="32" t="s">
        <v>36</v>
      </c>
      <c r="AJ280" s="45" t="s">
        <v>68</v>
      </c>
    </row>
    <row r="281" spans="5:36" ht="15">
      <c r="E281" s="29" t="s">
        <v>36</v>
      </c>
      <c r="R281" s="29" t="s">
        <v>657</v>
      </c>
      <c r="AE281" s="32" t="s">
        <v>36</v>
      </c>
      <c r="AJ281" s="45" t="s">
        <v>37</v>
      </c>
    </row>
    <row r="282" spans="5:36" ht="15">
      <c r="E282" s="29" t="s">
        <v>36</v>
      </c>
      <c r="R282" s="29" t="s">
        <v>656</v>
      </c>
      <c r="AE282" s="32" t="s">
        <v>36</v>
      </c>
      <c r="AJ282" s="45" t="s">
        <v>100</v>
      </c>
    </row>
    <row r="283" spans="5:36" ht="15">
      <c r="E283" s="29" t="s">
        <v>36</v>
      </c>
      <c r="R283" s="29" t="s">
        <v>657</v>
      </c>
      <c r="AE283" s="32" t="s">
        <v>36</v>
      </c>
      <c r="AJ283" s="45" t="s">
        <v>37</v>
      </c>
    </row>
    <row r="284" spans="5:36" ht="15">
      <c r="E284" s="29" t="s">
        <v>36</v>
      </c>
      <c r="R284" s="29" t="s">
        <v>656</v>
      </c>
      <c r="AE284" s="32" t="s">
        <v>36</v>
      </c>
      <c r="AJ284" s="45" t="s">
        <v>37</v>
      </c>
    </row>
    <row r="285" spans="5:36" ht="15">
      <c r="E285" s="29" t="s">
        <v>36</v>
      </c>
      <c r="R285" s="29" t="s">
        <v>657</v>
      </c>
      <c r="AE285" s="32" t="s">
        <v>36</v>
      </c>
      <c r="AJ285" s="45" t="s">
        <v>113</v>
      </c>
    </row>
    <row r="286" spans="5:36" ht="15">
      <c r="E286" s="29" t="s">
        <v>36</v>
      </c>
      <c r="R286" s="29" t="s">
        <v>657</v>
      </c>
      <c r="AE286" s="32" t="s">
        <v>36</v>
      </c>
      <c r="AJ286" s="45" t="s">
        <v>68</v>
      </c>
    </row>
    <row r="287" spans="5:36" ht="15">
      <c r="E287" s="29" t="s">
        <v>36</v>
      </c>
      <c r="R287" s="29" t="s">
        <v>657</v>
      </c>
      <c r="AE287" s="32" t="s">
        <v>36</v>
      </c>
      <c r="AJ287" s="45" t="s">
        <v>37</v>
      </c>
    </row>
    <row r="288" spans="5:36" ht="15">
      <c r="E288" s="29" t="s">
        <v>36</v>
      </c>
      <c r="R288" s="29" t="s">
        <v>656</v>
      </c>
      <c r="AE288" s="32" t="s">
        <v>36</v>
      </c>
      <c r="AJ288" s="45" t="s">
        <v>74</v>
      </c>
    </row>
    <row r="289" spans="5:36" ht="15">
      <c r="E289" s="29" t="s">
        <v>36</v>
      </c>
      <c r="R289" s="29" t="s">
        <v>657</v>
      </c>
      <c r="AE289" s="32" t="s">
        <v>36</v>
      </c>
      <c r="AJ289" s="45" t="s">
        <v>68</v>
      </c>
    </row>
    <row r="290" spans="5:36" ht="15">
      <c r="E290" s="29" t="s">
        <v>36</v>
      </c>
      <c r="R290" s="29" t="s">
        <v>657</v>
      </c>
      <c r="AE290" s="32" t="s">
        <v>36</v>
      </c>
      <c r="AJ290" s="45" t="s">
        <v>68</v>
      </c>
    </row>
    <row r="291" spans="5:36" ht="15">
      <c r="E291" s="29" t="s">
        <v>36</v>
      </c>
      <c r="R291" s="29" t="s">
        <v>657</v>
      </c>
      <c r="AE291" s="32" t="s">
        <v>36</v>
      </c>
      <c r="AJ291" s="45" t="s">
        <v>68</v>
      </c>
    </row>
    <row r="292" spans="5:36" ht="15">
      <c r="E292" s="29" t="s">
        <v>36</v>
      </c>
      <c r="R292" s="29" t="s">
        <v>657</v>
      </c>
      <c r="AE292" s="32" t="s">
        <v>36</v>
      </c>
      <c r="AJ292" s="45" t="s">
        <v>68</v>
      </c>
    </row>
    <row r="293" spans="5:36" ht="15">
      <c r="E293" s="29" t="s">
        <v>36</v>
      </c>
      <c r="R293" s="29" t="s">
        <v>657</v>
      </c>
      <c r="AE293" s="32" t="s">
        <v>36</v>
      </c>
      <c r="AJ293" s="45" t="s">
        <v>68</v>
      </c>
    </row>
    <row r="294" spans="5:36" ht="15">
      <c r="E294" s="29" t="s">
        <v>36</v>
      </c>
      <c r="R294" s="29" t="s">
        <v>656</v>
      </c>
      <c r="AE294" s="32" t="s">
        <v>36</v>
      </c>
      <c r="AJ294" s="45" t="s">
        <v>37</v>
      </c>
    </row>
    <row r="295" spans="5:36" ht="15">
      <c r="E295" s="29" t="s">
        <v>36</v>
      </c>
      <c r="R295" s="29" t="s">
        <v>656</v>
      </c>
      <c r="AE295" s="32" t="s">
        <v>36</v>
      </c>
      <c r="AJ295" s="45" t="s">
        <v>68</v>
      </c>
    </row>
    <row r="296" spans="5:36" ht="15">
      <c r="E296" s="29" t="s">
        <v>36</v>
      </c>
      <c r="R296" s="29" t="s">
        <v>657</v>
      </c>
      <c r="AE296" s="32" t="s">
        <v>90</v>
      </c>
      <c r="AJ296" s="45" t="s">
        <v>658</v>
      </c>
    </row>
    <row r="297" spans="5:36" ht="15">
      <c r="E297" s="29" t="s">
        <v>36</v>
      </c>
      <c r="R297" s="29" t="s">
        <v>657</v>
      </c>
      <c r="AE297" s="32" t="s">
        <v>36</v>
      </c>
      <c r="AJ297" s="45" t="s">
        <v>74</v>
      </c>
    </row>
    <row r="298" spans="5:36" ht="15">
      <c r="E298" s="29" t="s">
        <v>36</v>
      </c>
      <c r="R298" s="29" t="s">
        <v>657</v>
      </c>
      <c r="AE298" s="32" t="s">
        <v>36</v>
      </c>
      <c r="AJ298" s="45" t="s">
        <v>113</v>
      </c>
    </row>
    <row r="299" spans="5:36" ht="15">
      <c r="E299" s="29" t="s">
        <v>36</v>
      </c>
      <c r="R299" s="29" t="s">
        <v>657</v>
      </c>
      <c r="AE299" s="32" t="s">
        <v>36</v>
      </c>
      <c r="AJ299" s="45" t="s">
        <v>68</v>
      </c>
    </row>
    <row r="300" spans="5:36" ht="15">
      <c r="E300" s="29" t="s">
        <v>36</v>
      </c>
      <c r="R300" s="29" t="s">
        <v>656</v>
      </c>
      <c r="AE300" s="32" t="s">
        <v>90</v>
      </c>
      <c r="AJ300" s="45" t="s">
        <v>658</v>
      </c>
    </row>
    <row r="301" spans="5:36" ht="15">
      <c r="E301" s="29" t="s">
        <v>36</v>
      </c>
      <c r="R301" s="29" t="s">
        <v>657</v>
      </c>
      <c r="AE301" s="32" t="s">
        <v>36</v>
      </c>
      <c r="AJ301" s="45" t="s">
        <v>113</v>
      </c>
    </row>
    <row r="302" spans="5:36" ht="15">
      <c r="E302" s="29" t="s">
        <v>36</v>
      </c>
      <c r="R302" s="29" t="s">
        <v>657</v>
      </c>
      <c r="AE302" s="32" t="s">
        <v>90</v>
      </c>
      <c r="AJ302" s="45" t="s">
        <v>658</v>
      </c>
    </row>
    <row r="303" spans="5:36" ht="15">
      <c r="E303" s="29" t="s">
        <v>36</v>
      </c>
      <c r="R303" s="29" t="s">
        <v>657</v>
      </c>
      <c r="AE303" s="32" t="s">
        <v>36</v>
      </c>
      <c r="AJ303" s="45" t="s">
        <v>74</v>
      </c>
    </row>
    <row r="304" spans="5:36" ht="15">
      <c r="E304" s="29" t="s">
        <v>36</v>
      </c>
      <c r="R304" s="29" t="s">
        <v>657</v>
      </c>
      <c r="AE304" s="32" t="s">
        <v>36</v>
      </c>
      <c r="AJ304" s="45" t="s">
        <v>74</v>
      </c>
    </row>
    <row r="305" spans="5:36" ht="15">
      <c r="E305" s="29" t="s">
        <v>36</v>
      </c>
      <c r="R305" s="29" t="s">
        <v>657</v>
      </c>
      <c r="AE305" s="32" t="s">
        <v>36</v>
      </c>
      <c r="AJ305" s="45" t="s">
        <v>74</v>
      </c>
    </row>
    <row r="306" spans="5:36" ht="15">
      <c r="E306" s="29" t="s">
        <v>36</v>
      </c>
      <c r="R306" s="29" t="s">
        <v>657</v>
      </c>
      <c r="AE306" s="32" t="s">
        <v>90</v>
      </c>
      <c r="AJ306" s="45" t="s">
        <v>658</v>
      </c>
    </row>
    <row r="307" spans="5:36" ht="15">
      <c r="E307" s="29" t="s">
        <v>36</v>
      </c>
      <c r="R307" s="29" t="s">
        <v>656</v>
      </c>
      <c r="AE307" s="32" t="s">
        <v>90</v>
      </c>
      <c r="AJ307" s="45" t="s">
        <v>658</v>
      </c>
    </row>
    <row r="308" spans="5:36" ht="15">
      <c r="E308" s="29" t="s">
        <v>36</v>
      </c>
      <c r="R308" s="29" t="s">
        <v>660</v>
      </c>
      <c r="AE308" s="32" t="s">
        <v>90</v>
      </c>
      <c r="AJ308" s="45" t="s">
        <v>658</v>
      </c>
    </row>
    <row r="309" spans="5:36" ht="15">
      <c r="E309" s="29" t="s">
        <v>36</v>
      </c>
      <c r="R309" s="29" t="s">
        <v>656</v>
      </c>
      <c r="AE309" s="32" t="s">
        <v>36</v>
      </c>
      <c r="AJ309" s="45" t="s">
        <v>37</v>
      </c>
    </row>
    <row r="310" spans="5:36" ht="15">
      <c r="E310" s="29" t="s">
        <v>36</v>
      </c>
      <c r="R310" s="29" t="s">
        <v>656</v>
      </c>
      <c r="AE310" s="32" t="s">
        <v>36</v>
      </c>
      <c r="AJ310" s="45" t="s">
        <v>74</v>
      </c>
    </row>
    <row r="311" spans="5:36" ht="15">
      <c r="E311" s="29" t="s">
        <v>36</v>
      </c>
      <c r="R311" s="29" t="s">
        <v>656</v>
      </c>
      <c r="AE311" s="32" t="s">
        <v>36</v>
      </c>
      <c r="AJ311" s="45" t="s">
        <v>68</v>
      </c>
    </row>
    <row r="312" spans="5:36" ht="15">
      <c r="E312" s="29" t="s">
        <v>36</v>
      </c>
      <c r="R312" s="29" t="s">
        <v>657</v>
      </c>
      <c r="AE312" s="32" t="s">
        <v>90</v>
      </c>
      <c r="AJ312" s="45" t="s">
        <v>658</v>
      </c>
    </row>
    <row r="313" spans="5:36" ht="15">
      <c r="E313" s="29" t="s">
        <v>36</v>
      </c>
      <c r="R313" s="29" t="s">
        <v>657</v>
      </c>
      <c r="AE313" s="32" t="s">
        <v>36</v>
      </c>
      <c r="AJ313" s="45" t="s">
        <v>74</v>
      </c>
    </row>
    <row r="314" spans="5:36" ht="15">
      <c r="E314" s="29" t="s">
        <v>36</v>
      </c>
      <c r="R314" s="29" t="s">
        <v>657</v>
      </c>
      <c r="AE314" s="32" t="s">
        <v>36</v>
      </c>
      <c r="AJ314" s="45" t="s">
        <v>68</v>
      </c>
    </row>
    <row r="315" spans="5:36" ht="15">
      <c r="E315" s="29" t="s">
        <v>36</v>
      </c>
      <c r="R315" s="29" t="s">
        <v>657</v>
      </c>
      <c r="AE315" s="32" t="s">
        <v>36</v>
      </c>
      <c r="AJ315" s="45" t="s">
        <v>68</v>
      </c>
    </row>
    <row r="316" spans="5:36" ht="15">
      <c r="E316" s="29" t="s">
        <v>36</v>
      </c>
      <c r="R316" s="29" t="s">
        <v>657</v>
      </c>
      <c r="AE316" s="32" t="s">
        <v>36</v>
      </c>
      <c r="AJ316" s="45" t="s">
        <v>37</v>
      </c>
    </row>
    <row r="317" spans="5:36" ht="15">
      <c r="E317" s="29" t="s">
        <v>36</v>
      </c>
      <c r="R317" s="29" t="s">
        <v>656</v>
      </c>
      <c r="AE317" s="32" t="s">
        <v>36</v>
      </c>
      <c r="AJ317" s="45" t="s">
        <v>74</v>
      </c>
    </row>
    <row r="318" spans="5:36" ht="15">
      <c r="E318" s="29" t="s">
        <v>36</v>
      </c>
      <c r="R318" s="29" t="s">
        <v>657</v>
      </c>
      <c r="AE318" s="32" t="s">
        <v>36</v>
      </c>
      <c r="AJ318" s="45" t="s">
        <v>100</v>
      </c>
    </row>
    <row r="319" spans="5:36" ht="15">
      <c r="E319" s="29" t="s">
        <v>36</v>
      </c>
      <c r="R319" s="29" t="s">
        <v>656</v>
      </c>
      <c r="AE319" s="32" t="s">
        <v>36</v>
      </c>
      <c r="AJ319" s="45" t="s">
        <v>37</v>
      </c>
    </row>
    <row r="320" spans="5:36" ht="15">
      <c r="E320" s="29" t="s">
        <v>36</v>
      </c>
      <c r="R320" s="29" t="s">
        <v>657</v>
      </c>
      <c r="AE320" s="32" t="s">
        <v>36</v>
      </c>
      <c r="AJ320" s="45" t="s">
        <v>113</v>
      </c>
    </row>
    <row r="321" spans="5:36" ht="15">
      <c r="E321" s="29" t="s">
        <v>36</v>
      </c>
      <c r="R321" s="29" t="s">
        <v>656</v>
      </c>
      <c r="AE321" s="32" t="s">
        <v>36</v>
      </c>
      <c r="AJ321" s="45" t="s">
        <v>113</v>
      </c>
    </row>
    <row r="322" spans="5:36" ht="15">
      <c r="E322" s="29" t="s">
        <v>36</v>
      </c>
      <c r="R322" s="29" t="s">
        <v>656</v>
      </c>
      <c r="AE322" s="32" t="s">
        <v>36</v>
      </c>
      <c r="AJ322" s="45" t="s">
        <v>74</v>
      </c>
    </row>
    <row r="323" spans="5:36" ht="15">
      <c r="E323" s="29" t="s">
        <v>36</v>
      </c>
      <c r="R323" s="29" t="s">
        <v>656</v>
      </c>
      <c r="AE323" s="32" t="s">
        <v>36</v>
      </c>
      <c r="AJ323" s="45" t="s">
        <v>113</v>
      </c>
    </row>
    <row r="324" spans="5:36" ht="15">
      <c r="E324" s="29" t="s">
        <v>36</v>
      </c>
      <c r="R324" s="29" t="s">
        <v>656</v>
      </c>
      <c r="AE324" s="32" t="s">
        <v>36</v>
      </c>
      <c r="AJ324" s="45" t="s">
        <v>113</v>
      </c>
    </row>
    <row r="325" spans="5:36" ht="15">
      <c r="E325" s="29" t="s">
        <v>36</v>
      </c>
      <c r="R325" s="29" t="s">
        <v>657</v>
      </c>
      <c r="AE325" s="32" t="s">
        <v>36</v>
      </c>
      <c r="AJ325" s="45" t="s">
        <v>113</v>
      </c>
    </row>
    <row r="326" spans="5:36" ht="15">
      <c r="E326" s="29" t="s">
        <v>36</v>
      </c>
      <c r="R326" s="29" t="s">
        <v>657</v>
      </c>
      <c r="AE326" s="32" t="s">
        <v>36</v>
      </c>
      <c r="AJ326" s="45" t="s">
        <v>37</v>
      </c>
    </row>
    <row r="327" spans="5:36" ht="15">
      <c r="E327" s="29" t="s">
        <v>36</v>
      </c>
      <c r="R327" s="29" t="s">
        <v>657</v>
      </c>
      <c r="AE327" s="32" t="s">
        <v>36</v>
      </c>
      <c r="AJ327" s="45" t="s">
        <v>37</v>
      </c>
    </row>
    <row r="328" spans="5:36" ht="15">
      <c r="E328" s="29" t="s">
        <v>36</v>
      </c>
      <c r="R328" s="29" t="s">
        <v>657</v>
      </c>
      <c r="AE328" s="32" t="s">
        <v>36</v>
      </c>
      <c r="AJ328" s="45" t="s">
        <v>37</v>
      </c>
    </row>
    <row r="329" spans="5:36" ht="15">
      <c r="E329" s="29" t="s">
        <v>36</v>
      </c>
      <c r="R329" s="29" t="s">
        <v>656</v>
      </c>
      <c r="AE329" s="32" t="s">
        <v>90</v>
      </c>
      <c r="AJ329" s="45" t="s">
        <v>658</v>
      </c>
    </row>
    <row r="330" spans="5:36" ht="15">
      <c r="E330" s="29" t="s">
        <v>36</v>
      </c>
      <c r="R330" s="29" t="s">
        <v>657</v>
      </c>
      <c r="AE330" s="32" t="s">
        <v>36</v>
      </c>
      <c r="AJ330" s="45" t="s">
        <v>37</v>
      </c>
    </row>
    <row r="331" spans="5:36" ht="15">
      <c r="E331" s="29" t="s">
        <v>36</v>
      </c>
      <c r="R331" s="29" t="s">
        <v>657</v>
      </c>
      <c r="AE331" s="32" t="s">
        <v>36</v>
      </c>
      <c r="AJ331" s="45" t="s">
        <v>74</v>
      </c>
    </row>
    <row r="332" spans="5:36" ht="15">
      <c r="E332" s="29" t="s">
        <v>36</v>
      </c>
      <c r="R332" s="29" t="s">
        <v>656</v>
      </c>
      <c r="AE332" s="32" t="s">
        <v>36</v>
      </c>
      <c r="AJ332" s="45" t="s">
        <v>37</v>
      </c>
    </row>
    <row r="333" spans="5:36" ht="15">
      <c r="E333" s="29" t="s">
        <v>36</v>
      </c>
      <c r="R333" s="29" t="s">
        <v>657</v>
      </c>
      <c r="AE333" s="32" t="s">
        <v>90</v>
      </c>
      <c r="AJ333" s="45" t="s">
        <v>658</v>
      </c>
    </row>
    <row r="334" spans="5:36" ht="15">
      <c r="E334" s="29" t="s">
        <v>36</v>
      </c>
      <c r="R334" s="29" t="s">
        <v>656</v>
      </c>
      <c r="AE334" s="32" t="s">
        <v>36</v>
      </c>
      <c r="AJ334" s="45" t="s">
        <v>661</v>
      </c>
    </row>
    <row r="335" spans="5:36" ht="15">
      <c r="E335" s="29" t="s">
        <v>36</v>
      </c>
      <c r="R335" s="29" t="s">
        <v>656</v>
      </c>
      <c r="AE335" s="32" t="s">
        <v>36</v>
      </c>
      <c r="AJ335" s="45" t="s">
        <v>37</v>
      </c>
    </row>
    <row r="336" spans="5:36" ht="15">
      <c r="E336" s="29" t="s">
        <v>36</v>
      </c>
      <c r="R336" s="29" t="s">
        <v>657</v>
      </c>
      <c r="AE336" s="32" t="s">
        <v>36</v>
      </c>
      <c r="AJ336" s="45" t="s">
        <v>74</v>
      </c>
    </row>
    <row r="337" spans="5:36" ht="15">
      <c r="E337" s="29" t="s">
        <v>36</v>
      </c>
      <c r="R337" s="29" t="s">
        <v>656</v>
      </c>
      <c r="AE337" s="32" t="s">
        <v>36</v>
      </c>
      <c r="AJ337" s="45" t="s">
        <v>37</v>
      </c>
    </row>
    <row r="338" spans="5:36" ht="15">
      <c r="E338" s="29" t="s">
        <v>36</v>
      </c>
      <c r="R338" s="29" t="s">
        <v>656</v>
      </c>
      <c r="AE338" s="32" t="s">
        <v>36</v>
      </c>
      <c r="AJ338" s="45" t="s">
        <v>658</v>
      </c>
    </row>
    <row r="339" spans="5:36" ht="15">
      <c r="E339" s="29" t="s">
        <v>36</v>
      </c>
      <c r="R339" s="29" t="s">
        <v>657</v>
      </c>
      <c r="AE339" s="32" t="s">
        <v>36</v>
      </c>
      <c r="AJ339" s="45" t="s">
        <v>37</v>
      </c>
    </row>
    <row r="340" spans="5:36" ht="15">
      <c r="E340" s="29" t="s">
        <v>36</v>
      </c>
      <c r="R340" s="29" t="s">
        <v>657</v>
      </c>
      <c r="AE340" s="32" t="s">
        <v>36</v>
      </c>
      <c r="AJ340" s="45" t="s">
        <v>113</v>
      </c>
    </row>
    <row r="341" spans="5:36" ht="15">
      <c r="E341" s="29" t="s">
        <v>36</v>
      </c>
      <c r="R341" s="29" t="s">
        <v>656</v>
      </c>
      <c r="AE341" s="32" t="s">
        <v>36</v>
      </c>
      <c r="AJ341" s="45" t="s">
        <v>68</v>
      </c>
    </row>
    <row r="342" spans="5:36" ht="15">
      <c r="E342" s="29" t="s">
        <v>36</v>
      </c>
      <c r="R342" s="29" t="s">
        <v>657</v>
      </c>
      <c r="AE342" s="32" t="s">
        <v>36</v>
      </c>
      <c r="AJ342" s="45" t="s">
        <v>74</v>
      </c>
    </row>
    <row r="343" spans="5:36" ht="15">
      <c r="E343" s="29" t="s">
        <v>36</v>
      </c>
      <c r="R343" s="29" t="s">
        <v>657</v>
      </c>
      <c r="AE343" s="32" t="s">
        <v>36</v>
      </c>
      <c r="AJ343" s="45" t="s">
        <v>74</v>
      </c>
    </row>
    <row r="344" spans="5:36" ht="15">
      <c r="E344" s="29" t="s">
        <v>36</v>
      </c>
      <c r="R344" s="29" t="s">
        <v>656</v>
      </c>
      <c r="AE344" s="32" t="s">
        <v>36</v>
      </c>
      <c r="AJ344" s="45" t="s">
        <v>100</v>
      </c>
    </row>
    <row r="345" spans="5:36" ht="15">
      <c r="E345" s="29" t="s">
        <v>36</v>
      </c>
      <c r="R345" s="29" t="s">
        <v>657</v>
      </c>
      <c r="AE345" s="32" t="s">
        <v>36</v>
      </c>
      <c r="AJ345" s="45" t="s">
        <v>68</v>
      </c>
    </row>
    <row r="346" spans="5:36" ht="15">
      <c r="E346" s="29" t="s">
        <v>36</v>
      </c>
      <c r="R346" s="29" t="s">
        <v>657</v>
      </c>
      <c r="AE346" s="32" t="s">
        <v>36</v>
      </c>
      <c r="AJ346" s="45" t="s">
        <v>68</v>
      </c>
    </row>
    <row r="347" spans="5:36" ht="15">
      <c r="E347" s="29" t="s">
        <v>36</v>
      </c>
      <c r="R347" s="29" t="s">
        <v>657</v>
      </c>
      <c r="AE347" s="32" t="s">
        <v>36</v>
      </c>
      <c r="AJ347" s="45" t="s">
        <v>68</v>
      </c>
    </row>
    <row r="348" spans="5:36" ht="15">
      <c r="E348" s="29" t="s">
        <v>36</v>
      </c>
      <c r="R348" s="29" t="s">
        <v>657</v>
      </c>
      <c r="AE348" s="32" t="s">
        <v>36</v>
      </c>
      <c r="AJ348" s="45" t="s">
        <v>74</v>
      </c>
    </row>
    <row r="349" spans="5:36" ht="15">
      <c r="E349" s="29" t="s">
        <v>36</v>
      </c>
      <c r="R349" s="29" t="s">
        <v>657</v>
      </c>
      <c r="AE349" s="32" t="s">
        <v>36</v>
      </c>
      <c r="AJ349" s="45" t="s">
        <v>68</v>
      </c>
    </row>
    <row r="350" spans="5:36" ht="15">
      <c r="E350" s="29" t="s">
        <v>36</v>
      </c>
      <c r="R350" s="29" t="s">
        <v>656</v>
      </c>
      <c r="AE350" s="32" t="s">
        <v>36</v>
      </c>
      <c r="AJ350" s="45" t="s">
        <v>113</v>
      </c>
    </row>
    <row r="351" spans="5:36" ht="15">
      <c r="E351" s="29" t="s">
        <v>36</v>
      </c>
      <c r="R351" s="29" t="s">
        <v>657</v>
      </c>
      <c r="AE351" s="32" t="s">
        <v>36</v>
      </c>
      <c r="AJ351" s="45" t="s">
        <v>100</v>
      </c>
    </row>
    <row r="352" spans="5:36" ht="15">
      <c r="E352" s="29" t="s">
        <v>36</v>
      </c>
      <c r="R352" s="29" t="s">
        <v>657</v>
      </c>
      <c r="AE352" s="32" t="s">
        <v>36</v>
      </c>
      <c r="AJ352" s="45" t="s">
        <v>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2E74D-473A-43BD-A15B-4FE68FD1B61E}">
  <dimension ref="A1:X352"/>
  <sheetViews>
    <sheetView topLeftCell="A325" workbookViewId="0">
      <selection activeCell="F3" sqref="F3:F352"/>
    </sheetView>
  </sheetViews>
  <sheetFormatPr defaultRowHeight="12.75"/>
  <cols>
    <col min="1" max="1" width="31.140625" style="60" customWidth="1"/>
    <col min="2" max="2" width="14.140625" style="60" customWidth="1"/>
    <col min="3" max="3" width="19.42578125" style="60" customWidth="1"/>
    <col min="4" max="4" width="23.7109375" style="60" customWidth="1"/>
    <col min="5" max="5" width="14.140625" style="60" customWidth="1"/>
    <col min="6" max="6" width="22.42578125" style="60" customWidth="1"/>
    <col min="7" max="7" width="14.5703125" style="60" customWidth="1"/>
    <col min="8" max="8" width="20.140625" style="60" customWidth="1"/>
    <col min="9" max="9" width="21.85546875" style="60" customWidth="1"/>
    <col min="10" max="10" width="9.140625" style="60"/>
    <col min="11" max="11" width="24.7109375" style="60" customWidth="1"/>
    <col min="12" max="12" width="17.42578125" style="60" customWidth="1"/>
    <col min="13" max="13" width="18" style="60" customWidth="1"/>
    <col min="14" max="14" width="26" style="60" customWidth="1"/>
    <col min="15" max="15" width="9.140625" style="60"/>
    <col min="16" max="16" width="35.85546875" style="60" customWidth="1"/>
    <col min="17" max="17" width="20" style="60" customWidth="1"/>
    <col min="18" max="18" width="22.7109375" style="60" customWidth="1"/>
    <col min="19" max="19" width="27.85546875" style="60" customWidth="1"/>
    <col min="20" max="20" width="9.140625" style="60"/>
    <col min="21" max="21" width="27.5703125" style="60" customWidth="1"/>
    <col min="22" max="22" width="22" style="60" customWidth="1"/>
    <col min="23" max="23" width="21.42578125" style="60" customWidth="1"/>
    <col min="24" max="24" width="23.28515625" style="60" customWidth="1"/>
    <col min="25" max="16384" width="9.140625" style="60"/>
  </cols>
  <sheetData>
    <row r="1" spans="1:24" s="93" customFormat="1" ht="54">
      <c r="A1" s="96" t="s">
        <v>642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ht="117" customHeight="1">
      <c r="A2" s="97" t="s">
        <v>662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ht="15.75">
      <c r="A3" s="50" t="s">
        <v>7</v>
      </c>
      <c r="B3" s="53" t="s">
        <v>650</v>
      </c>
      <c r="C3" s="53" t="s">
        <v>649</v>
      </c>
      <c r="D3" s="53" t="s">
        <v>663</v>
      </c>
      <c r="E3" s="100"/>
      <c r="F3" s="50" t="s">
        <v>14</v>
      </c>
      <c r="G3" s="53" t="s">
        <v>650</v>
      </c>
      <c r="H3" s="53" t="s">
        <v>649</v>
      </c>
      <c r="I3" s="53" t="s">
        <v>663</v>
      </c>
      <c r="J3" s="100"/>
      <c r="K3" s="50" t="s">
        <v>15</v>
      </c>
      <c r="L3" s="53" t="s">
        <v>650</v>
      </c>
      <c r="M3" s="53" t="s">
        <v>649</v>
      </c>
      <c r="N3" s="53" t="s">
        <v>663</v>
      </c>
      <c r="O3" s="100"/>
      <c r="P3" s="50" t="s">
        <v>20</v>
      </c>
      <c r="Q3" s="53" t="s">
        <v>650</v>
      </c>
      <c r="R3" s="53" t="s">
        <v>649</v>
      </c>
      <c r="S3" s="53" t="s">
        <v>663</v>
      </c>
      <c r="T3" s="100"/>
      <c r="U3" s="50" t="s">
        <v>25</v>
      </c>
      <c r="V3" s="53" t="s">
        <v>650</v>
      </c>
      <c r="W3" s="53" t="s">
        <v>649</v>
      </c>
      <c r="X3" s="53" t="s">
        <v>663</v>
      </c>
    </row>
    <row r="4" spans="1:24">
      <c r="A4" s="89">
        <v>18</v>
      </c>
      <c r="B4" s="90">
        <f>AVERAGE(A4:A352)</f>
        <v>21.865329512893982</v>
      </c>
      <c r="C4" s="90">
        <f>_xlfn.STDEV.S(A4:A352)</f>
        <v>2.277242791856696</v>
      </c>
      <c r="D4" s="90">
        <f>(C4/B4)*100</f>
        <v>10.414856956597914</v>
      </c>
      <c r="E4" s="100"/>
      <c r="F4" s="91">
        <v>2.5</v>
      </c>
      <c r="G4" s="90">
        <f>AVERAGE(F4:F352)</f>
        <v>5.9919770773638961</v>
      </c>
      <c r="H4" s="90">
        <f>_xlfn.STDEV.S(F4:F352)</f>
        <v>14.213719951970221</v>
      </c>
      <c r="I4" s="90">
        <f>(H4/G4)*100</f>
        <v>237.21252215176011</v>
      </c>
      <c r="J4" s="100"/>
      <c r="K4" s="89">
        <v>0</v>
      </c>
      <c r="L4" s="90">
        <f>AVERAGE(K4:K352)</f>
        <v>0.69340974212034379</v>
      </c>
      <c r="M4" s="90">
        <f>_xlfn.STDEV.S(K4:K352)</f>
        <v>1.2505112085776686</v>
      </c>
      <c r="N4" s="90">
        <f>(M4/L4)*100</f>
        <v>180.34231892297785</v>
      </c>
      <c r="O4" s="100"/>
      <c r="P4" s="89">
        <v>0</v>
      </c>
      <c r="Q4" s="90">
        <f>AVERAGE(P4:P352)</f>
        <v>3.2893982808022924</v>
      </c>
      <c r="R4" s="90">
        <f>_xlfn.STDEV.S(P4:P352)</f>
        <v>4.1445750352841344</v>
      </c>
      <c r="S4" s="90">
        <f>(R4/Q4)*100</f>
        <v>125.99796927823719</v>
      </c>
      <c r="T4" s="100"/>
      <c r="U4" s="92">
        <v>40</v>
      </c>
      <c r="V4" s="90">
        <f>AVERAGE(U4:U352)</f>
        <v>50.050544412607429</v>
      </c>
      <c r="W4" s="90">
        <f>_xlfn.STDEV.S(U4:U352)</f>
        <v>207.42728703683463</v>
      </c>
      <c r="X4" s="90">
        <f>(W4/V4)*100</f>
        <v>414.43562596810625</v>
      </c>
    </row>
    <row r="5" spans="1:24">
      <c r="A5" s="89">
        <v>18</v>
      </c>
      <c r="B5" s="100"/>
      <c r="C5" s="100"/>
      <c r="D5" s="100"/>
      <c r="E5" s="15"/>
      <c r="F5" s="91">
        <v>0</v>
      </c>
      <c r="G5" s="100"/>
      <c r="H5" s="100"/>
      <c r="I5" s="100"/>
      <c r="J5" s="100"/>
      <c r="K5" s="89">
        <v>0</v>
      </c>
      <c r="L5" s="100"/>
      <c r="M5" s="100"/>
      <c r="N5" s="100"/>
      <c r="O5" s="100"/>
      <c r="P5" s="89">
        <v>2</v>
      </c>
      <c r="Q5" s="100"/>
      <c r="R5" s="100"/>
      <c r="S5" s="100"/>
      <c r="T5" s="100"/>
      <c r="U5" s="92">
        <v>10</v>
      </c>
      <c r="V5" s="100"/>
      <c r="W5" s="100"/>
      <c r="X5" s="100"/>
    </row>
    <row r="6" spans="1:24">
      <c r="A6" s="89">
        <v>18</v>
      </c>
      <c r="B6" s="100"/>
      <c r="C6" s="100"/>
      <c r="D6" s="100"/>
      <c r="E6" s="63"/>
      <c r="F6" s="91">
        <v>0</v>
      </c>
      <c r="G6" s="100"/>
      <c r="H6" s="100"/>
      <c r="I6" s="100"/>
      <c r="J6" s="100"/>
      <c r="K6" s="89">
        <v>0</v>
      </c>
      <c r="L6" s="100"/>
      <c r="M6" s="100"/>
      <c r="N6" s="100"/>
      <c r="O6" s="100"/>
      <c r="P6" s="89">
        <v>0</v>
      </c>
      <c r="Q6" s="100"/>
      <c r="R6" s="100"/>
      <c r="S6" s="100"/>
      <c r="T6" s="100"/>
      <c r="U6" s="92">
        <v>5.99</v>
      </c>
      <c r="V6" s="100"/>
      <c r="W6" s="100"/>
      <c r="X6" s="100"/>
    </row>
    <row r="7" spans="1:24">
      <c r="A7" s="89">
        <v>18</v>
      </c>
      <c r="B7" s="100"/>
      <c r="C7" s="100"/>
      <c r="D7" s="100"/>
      <c r="E7" s="63"/>
      <c r="F7" s="91">
        <v>3.75</v>
      </c>
      <c r="G7" s="100"/>
      <c r="H7" s="100"/>
      <c r="I7" s="100"/>
      <c r="J7" s="100"/>
      <c r="K7" s="89">
        <v>0</v>
      </c>
      <c r="L7" s="100"/>
      <c r="M7" s="100"/>
      <c r="N7" s="100"/>
      <c r="O7" s="100"/>
      <c r="P7" s="89">
        <v>2</v>
      </c>
      <c r="Q7" s="100"/>
      <c r="R7" s="100"/>
      <c r="S7" s="100"/>
      <c r="T7" s="100"/>
      <c r="U7" s="92">
        <v>9.99</v>
      </c>
      <c r="V7" s="100"/>
      <c r="W7" s="100"/>
      <c r="X7" s="100"/>
    </row>
    <row r="8" spans="1:24">
      <c r="A8" s="89">
        <v>18</v>
      </c>
      <c r="B8" s="100"/>
      <c r="C8" s="100"/>
      <c r="D8" s="100"/>
      <c r="E8" s="63"/>
      <c r="F8" s="91">
        <v>0</v>
      </c>
      <c r="G8" s="100"/>
      <c r="H8" s="100"/>
      <c r="I8" s="100"/>
      <c r="J8" s="100"/>
      <c r="K8" s="89">
        <v>0</v>
      </c>
      <c r="L8" s="100"/>
      <c r="M8" s="100"/>
      <c r="N8" s="100"/>
      <c r="O8" s="100"/>
      <c r="P8" s="89">
        <v>0</v>
      </c>
      <c r="Q8" s="100"/>
      <c r="R8" s="100"/>
      <c r="S8" s="100"/>
      <c r="T8" s="100"/>
      <c r="U8" s="92">
        <v>20.5</v>
      </c>
      <c r="V8" s="100"/>
      <c r="W8" s="100"/>
      <c r="X8" s="100"/>
    </row>
    <row r="9" spans="1:24">
      <c r="A9" s="89">
        <v>18</v>
      </c>
      <c r="B9" s="100"/>
      <c r="C9" s="100"/>
      <c r="D9" s="100"/>
      <c r="E9" s="63"/>
      <c r="F9" s="91">
        <v>0</v>
      </c>
      <c r="G9" s="100"/>
      <c r="H9" s="100"/>
      <c r="I9" s="100"/>
      <c r="J9" s="100"/>
      <c r="K9" s="89">
        <v>0</v>
      </c>
      <c r="L9" s="100"/>
      <c r="M9" s="100"/>
      <c r="N9" s="100"/>
      <c r="O9" s="100"/>
      <c r="P9" s="89">
        <v>0</v>
      </c>
      <c r="Q9" s="100"/>
      <c r="R9" s="100"/>
      <c r="S9" s="100"/>
      <c r="T9" s="100"/>
      <c r="U9" s="92">
        <v>10.5</v>
      </c>
      <c r="V9" s="100"/>
      <c r="W9" s="100"/>
      <c r="X9" s="100"/>
    </row>
    <row r="10" spans="1:24">
      <c r="A10" s="89">
        <v>18</v>
      </c>
      <c r="B10" s="100"/>
      <c r="C10" s="100"/>
      <c r="D10" s="100"/>
      <c r="E10" s="63"/>
      <c r="F10" s="91">
        <v>1</v>
      </c>
      <c r="G10" s="100"/>
      <c r="H10" s="100"/>
      <c r="I10" s="100"/>
      <c r="J10" s="100"/>
      <c r="K10" s="89">
        <v>0</v>
      </c>
      <c r="L10" s="100"/>
      <c r="M10" s="100"/>
      <c r="N10" s="100"/>
      <c r="O10" s="100"/>
      <c r="P10" s="89">
        <v>0</v>
      </c>
      <c r="Q10" s="100"/>
      <c r="R10" s="100"/>
      <c r="S10" s="100"/>
      <c r="T10" s="100"/>
      <c r="U10" s="92">
        <v>5</v>
      </c>
      <c r="V10" s="100"/>
      <c r="W10" s="100"/>
      <c r="X10" s="100"/>
    </row>
    <row r="11" spans="1:24">
      <c r="A11" s="89">
        <v>18</v>
      </c>
      <c r="B11" s="100"/>
      <c r="C11" s="100"/>
      <c r="D11" s="100"/>
      <c r="E11" s="63"/>
      <c r="F11" s="91">
        <v>0</v>
      </c>
      <c r="G11" s="100"/>
      <c r="H11" s="100"/>
      <c r="I11" s="100"/>
      <c r="J11" s="100"/>
      <c r="K11" s="89">
        <v>0</v>
      </c>
      <c r="L11" s="100"/>
      <c r="M11" s="100"/>
      <c r="N11" s="100"/>
      <c r="O11" s="100"/>
      <c r="P11" s="89">
        <v>1</v>
      </c>
      <c r="Q11" s="100"/>
      <c r="R11" s="100"/>
      <c r="S11" s="100"/>
      <c r="T11" s="100"/>
      <c r="U11" s="92">
        <v>0</v>
      </c>
      <c r="V11" s="100"/>
      <c r="W11" s="100"/>
      <c r="X11" s="100"/>
    </row>
    <row r="12" spans="1:24">
      <c r="A12" s="89">
        <v>18</v>
      </c>
      <c r="B12" s="100"/>
      <c r="C12" s="100"/>
      <c r="D12" s="100"/>
      <c r="E12" s="63"/>
      <c r="F12" s="91">
        <v>1</v>
      </c>
      <c r="G12" s="100"/>
      <c r="H12" s="100"/>
      <c r="I12" s="100"/>
      <c r="J12" s="100"/>
      <c r="K12" s="89">
        <v>0</v>
      </c>
      <c r="L12" s="100"/>
      <c r="M12" s="100"/>
      <c r="N12" s="100"/>
      <c r="O12" s="100"/>
      <c r="P12" s="89">
        <v>0</v>
      </c>
      <c r="Q12" s="100"/>
      <c r="R12" s="100"/>
      <c r="S12" s="100"/>
      <c r="T12" s="100"/>
      <c r="U12" s="92">
        <v>0</v>
      </c>
      <c r="V12" s="100"/>
      <c r="W12" s="100"/>
      <c r="X12" s="100"/>
    </row>
    <row r="13" spans="1:24">
      <c r="A13" s="89">
        <v>18</v>
      </c>
      <c r="B13" s="100"/>
      <c r="C13" s="100"/>
      <c r="D13" s="100"/>
      <c r="E13" s="63"/>
      <c r="F13" s="91">
        <v>0</v>
      </c>
      <c r="G13" s="100"/>
      <c r="H13" s="100"/>
      <c r="I13" s="100"/>
      <c r="J13" s="100"/>
      <c r="K13" s="89">
        <v>0</v>
      </c>
      <c r="L13" s="100"/>
      <c r="M13" s="100"/>
      <c r="N13" s="100"/>
      <c r="O13" s="100"/>
      <c r="P13" s="89">
        <v>0</v>
      </c>
      <c r="Q13" s="100"/>
      <c r="R13" s="100"/>
      <c r="S13" s="100"/>
      <c r="T13" s="100"/>
      <c r="U13" s="92">
        <v>15</v>
      </c>
      <c r="V13" s="100"/>
      <c r="W13" s="100"/>
      <c r="X13" s="100"/>
    </row>
    <row r="14" spans="1:24">
      <c r="A14" s="89">
        <v>19</v>
      </c>
      <c r="B14" s="100"/>
      <c r="C14" s="100"/>
      <c r="D14" s="100"/>
      <c r="E14" s="63"/>
      <c r="F14" s="91">
        <v>0</v>
      </c>
      <c r="G14" s="100"/>
      <c r="H14" s="100"/>
      <c r="I14" s="100"/>
      <c r="J14" s="100"/>
      <c r="K14" s="89">
        <v>0</v>
      </c>
      <c r="L14" s="100"/>
      <c r="M14" s="100"/>
      <c r="N14" s="100"/>
      <c r="O14" s="100"/>
      <c r="P14" s="89">
        <v>1</v>
      </c>
      <c r="Q14" s="100"/>
      <c r="R14" s="100"/>
      <c r="S14" s="100"/>
      <c r="T14" s="100"/>
      <c r="U14" s="92">
        <v>15</v>
      </c>
      <c r="V14" s="100"/>
      <c r="W14" s="100"/>
      <c r="X14" s="100"/>
    </row>
    <row r="15" spans="1:24">
      <c r="A15" s="89">
        <v>19</v>
      </c>
      <c r="B15" s="100"/>
      <c r="C15" s="100"/>
      <c r="D15" s="100"/>
      <c r="E15" s="63"/>
      <c r="F15" s="91">
        <v>0</v>
      </c>
      <c r="G15" s="100"/>
      <c r="H15" s="100"/>
      <c r="I15" s="100"/>
      <c r="J15" s="100"/>
      <c r="K15" s="89">
        <v>0</v>
      </c>
      <c r="L15" s="100"/>
      <c r="M15" s="100"/>
      <c r="N15" s="100"/>
      <c r="O15" s="100"/>
      <c r="P15" s="89">
        <v>1</v>
      </c>
      <c r="Q15" s="100"/>
      <c r="R15" s="100"/>
      <c r="S15" s="100"/>
      <c r="T15" s="100"/>
      <c r="U15" s="92">
        <v>35</v>
      </c>
      <c r="V15" s="100"/>
      <c r="W15" s="100"/>
      <c r="X15" s="100"/>
    </row>
    <row r="16" spans="1:24">
      <c r="A16" s="89">
        <v>19</v>
      </c>
      <c r="B16" s="100"/>
      <c r="C16" s="100"/>
      <c r="D16" s="100"/>
      <c r="E16" s="63"/>
      <c r="F16" s="91">
        <v>5</v>
      </c>
      <c r="G16" s="100"/>
      <c r="H16" s="100"/>
      <c r="I16" s="100"/>
      <c r="J16" s="100"/>
      <c r="K16" s="89">
        <v>0</v>
      </c>
      <c r="L16" s="100"/>
      <c r="M16" s="100"/>
      <c r="N16" s="100"/>
      <c r="O16" s="100"/>
      <c r="P16" s="89">
        <v>7</v>
      </c>
      <c r="Q16" s="100"/>
      <c r="R16" s="100"/>
      <c r="S16" s="100"/>
      <c r="T16" s="100"/>
      <c r="U16" s="92">
        <v>20</v>
      </c>
      <c r="V16" s="100"/>
      <c r="W16" s="100"/>
      <c r="X16" s="100"/>
    </row>
    <row r="17" spans="1:24">
      <c r="A17" s="89">
        <v>19</v>
      </c>
      <c r="B17" s="100"/>
      <c r="C17" s="100"/>
      <c r="D17" s="100"/>
      <c r="E17" s="63"/>
      <c r="F17" s="91">
        <v>1.5</v>
      </c>
      <c r="G17" s="100"/>
      <c r="H17" s="100"/>
      <c r="I17" s="100"/>
      <c r="J17" s="100"/>
      <c r="K17" s="89">
        <v>0</v>
      </c>
      <c r="L17" s="100"/>
      <c r="M17" s="100"/>
      <c r="N17" s="100"/>
      <c r="O17" s="100"/>
      <c r="P17" s="89">
        <v>1</v>
      </c>
      <c r="Q17" s="100"/>
      <c r="R17" s="100"/>
      <c r="S17" s="100"/>
      <c r="T17" s="100"/>
      <c r="U17" s="92">
        <v>10</v>
      </c>
      <c r="V17" s="100"/>
      <c r="W17" s="100"/>
      <c r="X17" s="100"/>
    </row>
    <row r="18" spans="1:24">
      <c r="A18" s="89">
        <v>19</v>
      </c>
      <c r="B18" s="100"/>
      <c r="C18" s="100"/>
      <c r="D18" s="100"/>
      <c r="E18" s="63"/>
      <c r="F18" s="91">
        <v>3</v>
      </c>
      <c r="G18" s="100"/>
      <c r="H18" s="100"/>
      <c r="I18" s="100"/>
      <c r="J18" s="100"/>
      <c r="K18" s="89">
        <v>0</v>
      </c>
      <c r="L18" s="100"/>
      <c r="M18" s="100"/>
      <c r="N18" s="100"/>
      <c r="O18" s="100"/>
      <c r="P18" s="89">
        <v>0</v>
      </c>
      <c r="Q18" s="100"/>
      <c r="R18" s="100"/>
      <c r="S18" s="100"/>
      <c r="T18" s="100"/>
      <c r="U18" s="92">
        <v>250.9</v>
      </c>
      <c r="V18" s="100"/>
      <c r="W18" s="100"/>
      <c r="X18" s="100"/>
    </row>
    <row r="19" spans="1:24">
      <c r="A19" s="89">
        <v>19</v>
      </c>
      <c r="B19" s="100"/>
      <c r="C19" s="100"/>
      <c r="D19" s="100"/>
      <c r="E19" s="63"/>
      <c r="F19" s="91">
        <v>1</v>
      </c>
      <c r="G19" s="100"/>
      <c r="H19" s="100"/>
      <c r="I19" s="100"/>
      <c r="J19" s="100"/>
      <c r="K19" s="89">
        <v>0</v>
      </c>
      <c r="L19" s="100"/>
      <c r="M19" s="100"/>
      <c r="N19" s="100"/>
      <c r="O19" s="100"/>
      <c r="P19" s="89">
        <v>0</v>
      </c>
      <c r="Q19" s="100"/>
      <c r="R19" s="100"/>
      <c r="S19" s="100"/>
      <c r="T19" s="100"/>
      <c r="U19" s="92">
        <v>15.99</v>
      </c>
      <c r="V19" s="100"/>
      <c r="W19" s="100"/>
      <c r="X19" s="100"/>
    </row>
    <row r="20" spans="1:24">
      <c r="A20" s="89">
        <v>19</v>
      </c>
      <c r="B20" s="100"/>
      <c r="C20" s="100"/>
      <c r="D20" s="100"/>
      <c r="E20" s="63"/>
      <c r="F20" s="91">
        <v>18.5</v>
      </c>
      <c r="G20" s="100"/>
      <c r="H20" s="100"/>
      <c r="I20" s="100"/>
      <c r="J20" s="100"/>
      <c r="K20" s="89">
        <v>2</v>
      </c>
      <c r="L20" s="100"/>
      <c r="M20" s="100"/>
      <c r="N20" s="100"/>
      <c r="O20" s="100"/>
      <c r="P20" s="89">
        <v>1</v>
      </c>
      <c r="Q20" s="100"/>
      <c r="R20" s="100"/>
      <c r="S20" s="100"/>
      <c r="T20" s="100"/>
      <c r="U20" s="92">
        <v>29.99</v>
      </c>
      <c r="V20" s="100"/>
      <c r="W20" s="100"/>
      <c r="X20" s="100"/>
    </row>
    <row r="21" spans="1:24">
      <c r="A21" s="89">
        <v>19</v>
      </c>
      <c r="B21" s="100"/>
      <c r="C21" s="100"/>
      <c r="D21" s="100"/>
      <c r="E21" s="100"/>
      <c r="F21" s="91">
        <v>4.5</v>
      </c>
      <c r="G21" s="100"/>
      <c r="H21" s="100"/>
      <c r="I21" s="100"/>
      <c r="J21" s="100"/>
      <c r="K21" s="89">
        <v>0</v>
      </c>
      <c r="L21" s="100"/>
      <c r="M21" s="100"/>
      <c r="N21" s="100"/>
      <c r="O21" s="100"/>
      <c r="P21" s="89">
        <v>1</v>
      </c>
      <c r="Q21" s="100"/>
      <c r="R21" s="100"/>
      <c r="S21" s="100"/>
      <c r="T21" s="100"/>
      <c r="U21" s="92">
        <v>40.5</v>
      </c>
      <c r="V21" s="100"/>
      <c r="W21" s="100"/>
      <c r="X21" s="100"/>
    </row>
    <row r="22" spans="1:24">
      <c r="A22" s="89">
        <v>19</v>
      </c>
      <c r="B22" s="100"/>
      <c r="C22" s="100"/>
      <c r="D22" s="100"/>
      <c r="E22" s="100"/>
      <c r="F22" s="91">
        <v>0</v>
      </c>
      <c r="G22" s="100"/>
      <c r="H22" s="100"/>
      <c r="I22" s="100"/>
      <c r="J22" s="100"/>
      <c r="K22" s="89">
        <v>0</v>
      </c>
      <c r="L22" s="100"/>
      <c r="M22" s="100"/>
      <c r="N22" s="100"/>
      <c r="O22" s="100"/>
      <c r="P22" s="89">
        <v>0</v>
      </c>
      <c r="Q22" s="100"/>
      <c r="R22" s="100"/>
      <c r="S22" s="100"/>
      <c r="T22" s="100"/>
      <c r="U22" s="92">
        <v>22.5</v>
      </c>
      <c r="V22" s="100"/>
      <c r="W22" s="100"/>
      <c r="X22" s="100"/>
    </row>
    <row r="23" spans="1:24">
      <c r="A23" s="89">
        <v>19</v>
      </c>
      <c r="B23" s="100"/>
      <c r="C23" s="100"/>
      <c r="D23" s="100"/>
      <c r="E23" s="100"/>
      <c r="F23" s="91">
        <v>0</v>
      </c>
      <c r="G23" s="100"/>
      <c r="H23" s="100"/>
      <c r="I23" s="100"/>
      <c r="J23" s="100"/>
      <c r="K23" s="89">
        <v>0</v>
      </c>
      <c r="L23" s="100"/>
      <c r="M23" s="100"/>
      <c r="N23" s="100"/>
      <c r="O23" s="100"/>
      <c r="P23" s="89">
        <v>2</v>
      </c>
      <c r="Q23" s="100"/>
      <c r="R23" s="100"/>
      <c r="S23" s="100"/>
      <c r="T23" s="100"/>
      <c r="U23" s="92">
        <v>9.4</v>
      </c>
      <c r="V23" s="100"/>
      <c r="W23" s="100"/>
      <c r="X23" s="100"/>
    </row>
    <row r="24" spans="1:24">
      <c r="A24" s="89">
        <v>19</v>
      </c>
      <c r="B24" s="100"/>
      <c r="C24" s="100"/>
      <c r="D24" s="100"/>
      <c r="E24" s="100"/>
      <c r="F24" s="91">
        <v>0</v>
      </c>
      <c r="G24" s="100"/>
      <c r="H24" s="100"/>
      <c r="I24" s="100"/>
      <c r="J24" s="100"/>
      <c r="K24" s="89">
        <v>0</v>
      </c>
      <c r="L24" s="100"/>
      <c r="M24" s="100"/>
      <c r="N24" s="100"/>
      <c r="O24" s="100"/>
      <c r="P24" s="89">
        <v>1</v>
      </c>
      <c r="Q24" s="100"/>
      <c r="R24" s="100"/>
      <c r="S24" s="100"/>
      <c r="T24" s="100"/>
      <c r="U24" s="92">
        <v>15.6</v>
      </c>
      <c r="V24" s="100"/>
      <c r="W24" s="100"/>
      <c r="X24" s="100"/>
    </row>
    <row r="25" spans="1:24">
      <c r="A25" s="89">
        <v>19</v>
      </c>
      <c r="B25" s="100"/>
      <c r="C25" s="100"/>
      <c r="D25" s="100"/>
      <c r="E25" s="100"/>
      <c r="F25" s="91">
        <v>0</v>
      </c>
      <c r="G25" s="100"/>
      <c r="H25" s="100"/>
      <c r="I25" s="100"/>
      <c r="J25" s="100"/>
      <c r="K25" s="89">
        <v>0</v>
      </c>
      <c r="L25" s="100"/>
      <c r="M25" s="100"/>
      <c r="N25" s="100"/>
      <c r="O25" s="100"/>
      <c r="P25" s="89">
        <v>2</v>
      </c>
      <c r="Q25" s="100"/>
      <c r="R25" s="100"/>
      <c r="S25" s="100"/>
      <c r="T25" s="100"/>
      <c r="U25" s="92">
        <v>110.5</v>
      </c>
      <c r="V25" s="100"/>
      <c r="W25" s="100"/>
      <c r="X25" s="100"/>
    </row>
    <row r="26" spans="1:24">
      <c r="A26" s="89">
        <v>19</v>
      </c>
      <c r="B26" s="100"/>
      <c r="C26" s="100"/>
      <c r="D26" s="100"/>
      <c r="E26" s="100"/>
      <c r="F26" s="91">
        <v>6.75</v>
      </c>
      <c r="G26" s="100"/>
      <c r="H26" s="100"/>
      <c r="I26" s="100"/>
      <c r="J26" s="100"/>
      <c r="K26" s="89">
        <v>0</v>
      </c>
      <c r="L26" s="100"/>
      <c r="M26" s="100"/>
      <c r="N26" s="100"/>
      <c r="O26" s="100"/>
      <c r="P26" s="89">
        <v>2</v>
      </c>
      <c r="Q26" s="100"/>
      <c r="R26" s="100"/>
      <c r="S26" s="100"/>
      <c r="T26" s="100"/>
      <c r="U26" s="92">
        <v>50.99</v>
      </c>
      <c r="V26" s="100"/>
      <c r="W26" s="100"/>
      <c r="X26" s="100"/>
    </row>
    <row r="27" spans="1:24">
      <c r="A27" s="89">
        <v>19</v>
      </c>
      <c r="B27" s="100"/>
      <c r="C27" s="100"/>
      <c r="D27" s="100"/>
      <c r="E27" s="100"/>
      <c r="F27" s="91">
        <v>1</v>
      </c>
      <c r="G27" s="100"/>
      <c r="H27" s="100"/>
      <c r="I27" s="100"/>
      <c r="J27" s="100"/>
      <c r="K27" s="89">
        <v>0</v>
      </c>
      <c r="L27" s="100"/>
      <c r="M27" s="100"/>
      <c r="N27" s="100"/>
      <c r="O27" s="100"/>
      <c r="P27" s="89">
        <v>0</v>
      </c>
      <c r="Q27" s="100"/>
      <c r="R27" s="100"/>
      <c r="S27" s="100"/>
      <c r="T27" s="100"/>
      <c r="U27" s="92">
        <v>17.989999999999998</v>
      </c>
      <c r="V27" s="100"/>
      <c r="W27" s="100"/>
      <c r="X27" s="100"/>
    </row>
    <row r="28" spans="1:24">
      <c r="A28" s="89">
        <v>19</v>
      </c>
      <c r="B28" s="100"/>
      <c r="C28" s="100"/>
      <c r="D28" s="100"/>
      <c r="E28" s="100"/>
      <c r="F28" s="91">
        <v>10.5</v>
      </c>
      <c r="G28" s="100"/>
      <c r="H28" s="100"/>
      <c r="I28" s="100"/>
      <c r="J28" s="100"/>
      <c r="K28" s="89">
        <v>0</v>
      </c>
      <c r="L28" s="100"/>
      <c r="M28" s="100"/>
      <c r="N28" s="100"/>
      <c r="O28" s="100"/>
      <c r="P28" s="89">
        <v>2</v>
      </c>
      <c r="Q28" s="100"/>
      <c r="R28" s="100"/>
      <c r="S28" s="100"/>
      <c r="T28" s="100"/>
      <c r="U28" s="92">
        <v>15.99</v>
      </c>
      <c r="V28" s="100"/>
      <c r="W28" s="100"/>
      <c r="X28" s="100"/>
    </row>
    <row r="29" spans="1:24">
      <c r="A29" s="89">
        <v>19</v>
      </c>
      <c r="B29" s="100"/>
      <c r="C29" s="100"/>
      <c r="D29" s="100"/>
      <c r="E29" s="100"/>
      <c r="F29" s="91">
        <v>15.5</v>
      </c>
      <c r="G29" s="100"/>
      <c r="H29" s="100"/>
      <c r="I29" s="100"/>
      <c r="J29" s="100"/>
      <c r="K29" s="89">
        <v>2</v>
      </c>
      <c r="L29" s="100"/>
      <c r="M29" s="100"/>
      <c r="N29" s="100"/>
      <c r="O29" s="100"/>
      <c r="P29" s="89">
        <v>3</v>
      </c>
      <c r="Q29" s="100"/>
      <c r="R29" s="100"/>
      <c r="S29" s="100"/>
      <c r="T29" s="100"/>
      <c r="U29" s="92">
        <v>9.8000000000000007</v>
      </c>
      <c r="V29" s="100"/>
      <c r="W29" s="100"/>
      <c r="X29" s="100"/>
    </row>
    <row r="30" spans="1:24">
      <c r="A30" s="89">
        <v>19</v>
      </c>
      <c r="B30" s="100"/>
      <c r="C30" s="100"/>
      <c r="D30" s="100"/>
      <c r="E30" s="100"/>
      <c r="F30" s="91">
        <v>3</v>
      </c>
      <c r="G30" s="100"/>
      <c r="H30" s="100"/>
      <c r="I30" s="100"/>
      <c r="J30" s="100"/>
      <c r="K30" s="89">
        <v>0</v>
      </c>
      <c r="L30" s="100"/>
      <c r="M30" s="100"/>
      <c r="N30" s="100"/>
      <c r="O30" s="100"/>
      <c r="P30" s="89">
        <v>5</v>
      </c>
      <c r="Q30" s="100"/>
      <c r="R30" s="100"/>
      <c r="S30" s="100"/>
      <c r="T30" s="100"/>
      <c r="U30" s="92">
        <v>15</v>
      </c>
      <c r="V30" s="100"/>
      <c r="W30" s="100"/>
      <c r="X30" s="100"/>
    </row>
    <row r="31" spans="1:24">
      <c r="A31" s="89">
        <v>19</v>
      </c>
      <c r="B31" s="100"/>
      <c r="C31" s="100"/>
      <c r="D31" s="100"/>
      <c r="E31" s="100"/>
      <c r="F31" s="91">
        <v>0</v>
      </c>
      <c r="G31" s="100"/>
      <c r="H31" s="100"/>
      <c r="I31" s="100"/>
      <c r="J31" s="100"/>
      <c r="K31" s="89">
        <v>0</v>
      </c>
      <c r="L31" s="100"/>
      <c r="M31" s="100"/>
      <c r="N31" s="100"/>
      <c r="O31" s="100"/>
      <c r="P31" s="89">
        <v>0</v>
      </c>
      <c r="Q31" s="100"/>
      <c r="R31" s="100"/>
      <c r="S31" s="100"/>
      <c r="T31" s="100"/>
      <c r="U31" s="92">
        <v>13.4</v>
      </c>
      <c r="V31" s="100"/>
      <c r="W31" s="100"/>
      <c r="X31" s="100"/>
    </row>
    <row r="32" spans="1:24">
      <c r="A32" s="89">
        <v>19</v>
      </c>
      <c r="B32" s="100"/>
      <c r="C32" s="100"/>
      <c r="D32" s="100"/>
      <c r="E32" s="100"/>
      <c r="F32" s="91">
        <v>1</v>
      </c>
      <c r="G32" s="100"/>
      <c r="H32" s="100"/>
      <c r="I32" s="100"/>
      <c r="J32" s="100"/>
      <c r="K32" s="89">
        <v>0</v>
      </c>
      <c r="L32" s="100"/>
      <c r="M32" s="100"/>
      <c r="N32" s="100"/>
      <c r="O32" s="100"/>
      <c r="P32" s="89">
        <v>1</v>
      </c>
      <c r="Q32" s="100"/>
      <c r="R32" s="100"/>
      <c r="S32" s="100"/>
      <c r="T32" s="100"/>
      <c r="U32" s="92">
        <v>35.700000000000003</v>
      </c>
      <c r="V32" s="100"/>
      <c r="W32" s="100"/>
      <c r="X32" s="100"/>
    </row>
    <row r="33" spans="1:24">
      <c r="A33" s="89">
        <v>19</v>
      </c>
      <c r="B33" s="100"/>
      <c r="C33" s="100"/>
      <c r="D33" s="100"/>
      <c r="E33" s="100"/>
      <c r="F33" s="91">
        <v>2.75</v>
      </c>
      <c r="G33" s="100"/>
      <c r="H33" s="100"/>
      <c r="I33" s="100"/>
      <c r="J33" s="100"/>
      <c r="K33" s="89">
        <v>0</v>
      </c>
      <c r="L33" s="100"/>
      <c r="M33" s="100"/>
      <c r="N33" s="100"/>
      <c r="O33" s="100"/>
      <c r="P33" s="89">
        <v>0</v>
      </c>
      <c r="Q33" s="100"/>
      <c r="R33" s="100"/>
      <c r="S33" s="100"/>
      <c r="T33" s="100"/>
      <c r="U33" s="92">
        <v>19.989999999999998</v>
      </c>
      <c r="V33" s="100"/>
      <c r="W33" s="100"/>
      <c r="X33" s="100"/>
    </row>
    <row r="34" spans="1:24">
      <c r="A34" s="89">
        <v>19</v>
      </c>
      <c r="B34" s="100"/>
      <c r="C34" s="100"/>
      <c r="D34" s="100"/>
      <c r="E34" s="100"/>
      <c r="F34" s="91">
        <v>8.75</v>
      </c>
      <c r="G34" s="100"/>
      <c r="H34" s="100"/>
      <c r="I34" s="100"/>
      <c r="J34" s="100"/>
      <c r="K34" s="89">
        <v>1</v>
      </c>
      <c r="L34" s="100"/>
      <c r="M34" s="100"/>
      <c r="N34" s="100"/>
      <c r="O34" s="100"/>
      <c r="P34" s="89">
        <v>1</v>
      </c>
      <c r="Q34" s="100"/>
      <c r="R34" s="100"/>
      <c r="S34" s="100"/>
      <c r="T34" s="100"/>
      <c r="U34" s="92">
        <v>15.45</v>
      </c>
      <c r="V34" s="100"/>
      <c r="W34" s="100"/>
      <c r="X34" s="100"/>
    </row>
    <row r="35" spans="1:24">
      <c r="A35" s="89">
        <v>19</v>
      </c>
      <c r="B35" s="100"/>
      <c r="C35" s="100"/>
      <c r="D35" s="100"/>
      <c r="E35" s="100"/>
      <c r="F35" s="91">
        <v>24</v>
      </c>
      <c r="G35" s="100"/>
      <c r="H35" s="100"/>
      <c r="I35" s="100"/>
      <c r="J35" s="100"/>
      <c r="K35" s="89">
        <v>3</v>
      </c>
      <c r="L35" s="100"/>
      <c r="M35" s="100"/>
      <c r="N35" s="100"/>
      <c r="O35" s="100"/>
      <c r="P35" s="89">
        <v>2</v>
      </c>
      <c r="Q35" s="100"/>
      <c r="R35" s="100"/>
      <c r="S35" s="100"/>
      <c r="T35" s="100"/>
      <c r="U35" s="92">
        <v>69.989999999999995</v>
      </c>
      <c r="V35" s="100"/>
      <c r="W35" s="100"/>
      <c r="X35" s="100"/>
    </row>
    <row r="36" spans="1:24">
      <c r="A36" s="89">
        <v>19</v>
      </c>
      <c r="B36" s="100"/>
      <c r="C36" s="100"/>
      <c r="D36" s="100"/>
      <c r="E36" s="100"/>
      <c r="F36" s="91">
        <v>1.5</v>
      </c>
      <c r="G36" s="100"/>
      <c r="H36" s="100"/>
      <c r="I36" s="100"/>
      <c r="J36" s="100"/>
      <c r="K36" s="89">
        <v>1</v>
      </c>
      <c r="L36" s="100"/>
      <c r="M36" s="100"/>
      <c r="N36" s="100"/>
      <c r="O36" s="100"/>
      <c r="P36" s="89">
        <v>1</v>
      </c>
      <c r="Q36" s="100"/>
      <c r="R36" s="100"/>
      <c r="S36" s="100"/>
      <c r="T36" s="100"/>
      <c r="U36" s="92">
        <v>2.75</v>
      </c>
      <c r="V36" s="100"/>
      <c r="W36" s="100"/>
      <c r="X36" s="100"/>
    </row>
    <row r="37" spans="1:24">
      <c r="A37" s="89">
        <v>19</v>
      </c>
      <c r="B37" s="100"/>
      <c r="C37" s="100"/>
      <c r="D37" s="100"/>
      <c r="E37" s="100"/>
      <c r="F37" s="91">
        <v>1</v>
      </c>
      <c r="G37" s="100"/>
      <c r="H37" s="100"/>
      <c r="I37" s="100"/>
      <c r="J37" s="100"/>
      <c r="K37" s="89">
        <v>0</v>
      </c>
      <c r="L37" s="100"/>
      <c r="M37" s="100"/>
      <c r="N37" s="100"/>
      <c r="O37" s="100"/>
      <c r="P37" s="89">
        <v>1</v>
      </c>
      <c r="Q37" s="100"/>
      <c r="R37" s="100"/>
      <c r="S37" s="100"/>
      <c r="T37" s="100"/>
      <c r="U37" s="92">
        <v>125.8</v>
      </c>
      <c r="V37" s="100"/>
      <c r="W37" s="100"/>
      <c r="X37" s="100"/>
    </row>
    <row r="38" spans="1:24">
      <c r="A38" s="89">
        <v>19</v>
      </c>
      <c r="B38" s="100"/>
      <c r="C38" s="100"/>
      <c r="D38" s="100"/>
      <c r="E38" s="100"/>
      <c r="F38" s="91">
        <v>0</v>
      </c>
      <c r="G38" s="100"/>
      <c r="H38" s="100"/>
      <c r="I38" s="100"/>
      <c r="J38" s="100"/>
      <c r="K38" s="89">
        <v>0</v>
      </c>
      <c r="L38" s="100"/>
      <c r="M38" s="100"/>
      <c r="N38" s="100"/>
      <c r="O38" s="100"/>
      <c r="P38" s="89">
        <v>1</v>
      </c>
      <c r="Q38" s="100"/>
      <c r="R38" s="100"/>
      <c r="S38" s="100"/>
      <c r="T38" s="100"/>
      <c r="U38" s="92">
        <v>0</v>
      </c>
      <c r="V38" s="100"/>
      <c r="W38" s="100"/>
      <c r="X38" s="100"/>
    </row>
    <row r="39" spans="1:24">
      <c r="A39" s="89">
        <v>19</v>
      </c>
      <c r="B39" s="100"/>
      <c r="C39" s="100"/>
      <c r="D39" s="100"/>
      <c r="E39" s="100"/>
      <c r="F39" s="91">
        <v>0</v>
      </c>
      <c r="G39" s="100"/>
      <c r="H39" s="100"/>
      <c r="I39" s="100"/>
      <c r="J39" s="100"/>
      <c r="K39" s="89">
        <v>0</v>
      </c>
      <c r="L39" s="100"/>
      <c r="M39" s="100"/>
      <c r="N39" s="100"/>
      <c r="O39" s="100"/>
      <c r="P39" s="89">
        <v>0</v>
      </c>
      <c r="Q39" s="100"/>
      <c r="R39" s="100"/>
      <c r="S39" s="100"/>
      <c r="T39" s="100"/>
      <c r="U39" s="92">
        <v>0</v>
      </c>
      <c r="V39" s="100"/>
      <c r="W39" s="100"/>
      <c r="X39" s="100"/>
    </row>
    <row r="40" spans="1:24">
      <c r="A40" s="89">
        <v>19</v>
      </c>
      <c r="B40" s="100"/>
      <c r="C40" s="100"/>
      <c r="D40" s="100"/>
      <c r="E40" s="100"/>
      <c r="F40" s="91">
        <v>0</v>
      </c>
      <c r="G40" s="100"/>
      <c r="H40" s="100"/>
      <c r="I40" s="100"/>
      <c r="J40" s="100"/>
      <c r="K40" s="89">
        <v>0</v>
      </c>
      <c r="L40" s="100"/>
      <c r="M40" s="100"/>
      <c r="N40" s="100"/>
      <c r="O40" s="100"/>
      <c r="P40" s="89">
        <v>0</v>
      </c>
      <c r="Q40" s="100"/>
      <c r="R40" s="100"/>
      <c r="S40" s="100"/>
      <c r="T40" s="100"/>
      <c r="U40" s="92">
        <v>0</v>
      </c>
      <c r="V40" s="100"/>
      <c r="W40" s="100"/>
      <c r="X40" s="100"/>
    </row>
    <row r="41" spans="1:24">
      <c r="A41" s="89">
        <v>19</v>
      </c>
      <c r="B41" s="100"/>
      <c r="C41" s="100"/>
      <c r="D41" s="100"/>
      <c r="E41" s="100"/>
      <c r="F41" s="91">
        <v>1</v>
      </c>
      <c r="G41" s="100"/>
      <c r="H41" s="100"/>
      <c r="I41" s="100"/>
      <c r="J41" s="100"/>
      <c r="K41" s="89">
        <v>0</v>
      </c>
      <c r="L41" s="100"/>
      <c r="M41" s="100"/>
      <c r="N41" s="100"/>
      <c r="O41" s="100"/>
      <c r="P41" s="89">
        <v>1</v>
      </c>
      <c r="Q41" s="100"/>
      <c r="R41" s="100"/>
      <c r="S41" s="100"/>
      <c r="T41" s="100"/>
      <c r="U41" s="92">
        <v>5</v>
      </c>
      <c r="V41" s="100"/>
      <c r="W41" s="100"/>
      <c r="X41" s="100"/>
    </row>
    <row r="42" spans="1:24">
      <c r="A42" s="89">
        <v>19</v>
      </c>
      <c r="B42" s="100"/>
      <c r="C42" s="100"/>
      <c r="D42" s="100"/>
      <c r="E42" s="100"/>
      <c r="F42" s="91">
        <v>0</v>
      </c>
      <c r="G42" s="100"/>
      <c r="H42" s="100"/>
      <c r="I42" s="100"/>
      <c r="J42" s="100"/>
      <c r="K42" s="89">
        <v>0</v>
      </c>
      <c r="L42" s="100"/>
      <c r="M42" s="100"/>
      <c r="N42" s="100"/>
      <c r="O42" s="100"/>
      <c r="P42" s="89">
        <v>0</v>
      </c>
      <c r="Q42" s="100"/>
      <c r="R42" s="100"/>
      <c r="S42" s="100"/>
      <c r="T42" s="100"/>
      <c r="U42" s="92">
        <v>0</v>
      </c>
      <c r="V42" s="100"/>
      <c r="W42" s="100"/>
      <c r="X42" s="100"/>
    </row>
    <row r="43" spans="1:24">
      <c r="A43" s="89">
        <v>19</v>
      </c>
      <c r="B43" s="100"/>
      <c r="C43" s="100"/>
      <c r="D43" s="100"/>
      <c r="E43" s="100"/>
      <c r="F43" s="91">
        <v>1</v>
      </c>
      <c r="G43" s="100"/>
      <c r="H43" s="100"/>
      <c r="I43" s="100"/>
      <c r="J43" s="100"/>
      <c r="K43" s="89">
        <v>0</v>
      </c>
      <c r="L43" s="100"/>
      <c r="M43" s="100"/>
      <c r="N43" s="100"/>
      <c r="O43" s="100"/>
      <c r="P43" s="89">
        <v>2</v>
      </c>
      <c r="Q43" s="100"/>
      <c r="R43" s="100"/>
      <c r="S43" s="100"/>
      <c r="T43" s="100"/>
      <c r="U43" s="92">
        <v>5</v>
      </c>
      <c r="V43" s="100"/>
      <c r="W43" s="100"/>
      <c r="X43" s="100"/>
    </row>
    <row r="44" spans="1:24">
      <c r="A44" s="89">
        <v>19</v>
      </c>
      <c r="B44" s="100"/>
      <c r="C44" s="100"/>
      <c r="D44" s="100"/>
      <c r="E44" s="100"/>
      <c r="F44" s="91">
        <v>0</v>
      </c>
      <c r="G44" s="100"/>
      <c r="H44" s="100"/>
      <c r="I44" s="100"/>
      <c r="J44" s="100"/>
      <c r="K44" s="89">
        <v>0</v>
      </c>
      <c r="L44" s="100"/>
      <c r="M44" s="100"/>
      <c r="N44" s="100"/>
      <c r="O44" s="100"/>
      <c r="P44" s="89">
        <v>0</v>
      </c>
      <c r="Q44" s="100"/>
      <c r="R44" s="100"/>
      <c r="S44" s="100"/>
      <c r="T44" s="100"/>
      <c r="U44" s="92">
        <v>0</v>
      </c>
      <c r="V44" s="100"/>
      <c r="W44" s="100"/>
      <c r="X44" s="100"/>
    </row>
    <row r="45" spans="1:24">
      <c r="A45" s="89">
        <v>19</v>
      </c>
      <c r="B45" s="100"/>
      <c r="C45" s="100"/>
      <c r="D45" s="100"/>
      <c r="E45" s="100"/>
      <c r="F45" s="91">
        <v>0</v>
      </c>
      <c r="G45" s="100"/>
      <c r="H45" s="100"/>
      <c r="I45" s="100"/>
      <c r="J45" s="100"/>
      <c r="K45" s="89">
        <v>0</v>
      </c>
      <c r="L45" s="100"/>
      <c r="M45" s="100"/>
      <c r="N45" s="100"/>
      <c r="O45" s="100"/>
      <c r="P45" s="89">
        <v>0</v>
      </c>
      <c r="Q45" s="100"/>
      <c r="R45" s="100"/>
      <c r="S45" s="100"/>
      <c r="T45" s="100"/>
      <c r="U45" s="92">
        <v>0</v>
      </c>
      <c r="V45" s="100"/>
      <c r="W45" s="100"/>
      <c r="X45" s="100"/>
    </row>
    <row r="46" spans="1:24">
      <c r="A46" s="89">
        <v>19</v>
      </c>
      <c r="B46" s="100"/>
      <c r="C46" s="100"/>
      <c r="D46" s="100"/>
      <c r="E46" s="100"/>
      <c r="F46" s="91">
        <v>0</v>
      </c>
      <c r="G46" s="100"/>
      <c r="H46" s="100"/>
      <c r="I46" s="100"/>
      <c r="J46" s="100"/>
      <c r="K46" s="89">
        <v>0</v>
      </c>
      <c r="L46" s="100"/>
      <c r="M46" s="100"/>
      <c r="N46" s="100"/>
      <c r="O46" s="100"/>
      <c r="P46" s="89">
        <v>1</v>
      </c>
      <c r="Q46" s="100"/>
      <c r="R46" s="100"/>
      <c r="S46" s="100"/>
      <c r="T46" s="100"/>
      <c r="U46" s="92">
        <v>0</v>
      </c>
      <c r="V46" s="100"/>
      <c r="W46" s="100"/>
      <c r="X46" s="100"/>
    </row>
    <row r="47" spans="1:24">
      <c r="A47" s="89">
        <v>19</v>
      </c>
      <c r="B47" s="100"/>
      <c r="C47" s="100"/>
      <c r="D47" s="100"/>
      <c r="E47" s="100"/>
      <c r="F47" s="91">
        <v>1</v>
      </c>
      <c r="G47" s="100"/>
      <c r="H47" s="100"/>
      <c r="I47" s="100"/>
      <c r="J47" s="100"/>
      <c r="K47" s="89">
        <v>0</v>
      </c>
      <c r="L47" s="100"/>
      <c r="M47" s="100"/>
      <c r="N47" s="100"/>
      <c r="O47" s="100"/>
      <c r="P47" s="89">
        <v>0</v>
      </c>
      <c r="Q47" s="100"/>
      <c r="R47" s="100"/>
      <c r="S47" s="100"/>
      <c r="T47" s="100"/>
      <c r="U47" s="92">
        <v>0</v>
      </c>
      <c r="V47" s="100"/>
      <c r="W47" s="100"/>
      <c r="X47" s="100"/>
    </row>
    <row r="48" spans="1:24">
      <c r="A48" s="89">
        <v>19</v>
      </c>
      <c r="B48" s="100"/>
      <c r="C48" s="100"/>
      <c r="D48" s="100"/>
      <c r="E48" s="100"/>
      <c r="F48" s="91">
        <v>0</v>
      </c>
      <c r="G48" s="100"/>
      <c r="H48" s="100"/>
      <c r="I48" s="100"/>
      <c r="J48" s="100"/>
      <c r="K48" s="89">
        <v>0</v>
      </c>
      <c r="L48" s="100"/>
      <c r="M48" s="100"/>
      <c r="N48" s="100"/>
      <c r="O48" s="100"/>
      <c r="P48" s="89">
        <v>2</v>
      </c>
      <c r="Q48" s="100"/>
      <c r="R48" s="100"/>
      <c r="S48" s="100"/>
      <c r="T48" s="100"/>
      <c r="U48" s="92">
        <v>0</v>
      </c>
      <c r="V48" s="100"/>
      <c r="W48" s="100"/>
      <c r="X48" s="100"/>
    </row>
    <row r="49" spans="1:24">
      <c r="A49" s="89">
        <v>19</v>
      </c>
      <c r="B49" s="100"/>
      <c r="C49" s="100"/>
      <c r="D49" s="100"/>
      <c r="E49" s="100"/>
      <c r="F49" s="91">
        <v>1</v>
      </c>
      <c r="G49" s="100"/>
      <c r="H49" s="100"/>
      <c r="I49" s="100"/>
      <c r="J49" s="100"/>
      <c r="K49" s="89">
        <v>0</v>
      </c>
      <c r="L49" s="100"/>
      <c r="M49" s="100"/>
      <c r="N49" s="100"/>
      <c r="O49" s="100"/>
      <c r="P49" s="89">
        <v>0</v>
      </c>
      <c r="Q49" s="100"/>
      <c r="R49" s="100"/>
      <c r="S49" s="100"/>
      <c r="T49" s="100"/>
      <c r="U49" s="92">
        <v>0</v>
      </c>
      <c r="V49" s="100"/>
      <c r="W49" s="100"/>
      <c r="X49" s="100"/>
    </row>
    <row r="50" spans="1:24">
      <c r="A50" s="89">
        <v>19</v>
      </c>
      <c r="B50" s="100"/>
      <c r="C50" s="100"/>
      <c r="D50" s="100"/>
      <c r="E50" s="100"/>
      <c r="F50" s="91">
        <v>0</v>
      </c>
      <c r="G50" s="100"/>
      <c r="H50" s="100"/>
      <c r="I50" s="100"/>
      <c r="J50" s="100"/>
      <c r="K50" s="89">
        <v>0</v>
      </c>
      <c r="L50" s="100"/>
      <c r="M50" s="100"/>
      <c r="N50" s="100"/>
      <c r="O50" s="100"/>
      <c r="P50" s="89">
        <v>2</v>
      </c>
      <c r="Q50" s="100"/>
      <c r="R50" s="100"/>
      <c r="S50" s="100"/>
      <c r="T50" s="100"/>
      <c r="U50" s="92">
        <v>0</v>
      </c>
      <c r="V50" s="100"/>
      <c r="W50" s="100"/>
      <c r="X50" s="100"/>
    </row>
    <row r="51" spans="1:24">
      <c r="A51" s="89">
        <v>19</v>
      </c>
      <c r="B51" s="100"/>
      <c r="C51" s="100"/>
      <c r="D51" s="100"/>
      <c r="E51" s="100"/>
      <c r="F51" s="91">
        <v>0</v>
      </c>
      <c r="G51" s="100"/>
      <c r="H51" s="100"/>
      <c r="I51" s="100"/>
      <c r="J51" s="100"/>
      <c r="K51" s="89">
        <v>0</v>
      </c>
      <c r="L51" s="100"/>
      <c r="M51" s="100"/>
      <c r="N51" s="100"/>
      <c r="O51" s="100"/>
      <c r="P51" s="89">
        <v>0</v>
      </c>
      <c r="Q51" s="100"/>
      <c r="R51" s="100"/>
      <c r="S51" s="100"/>
      <c r="T51" s="100"/>
      <c r="U51" s="92">
        <v>0</v>
      </c>
      <c r="V51" s="100"/>
      <c r="W51" s="100"/>
      <c r="X51" s="100"/>
    </row>
    <row r="52" spans="1:24">
      <c r="A52" s="89">
        <v>19</v>
      </c>
      <c r="B52" s="100"/>
      <c r="C52" s="100"/>
      <c r="D52" s="100"/>
      <c r="E52" s="100"/>
      <c r="F52" s="91">
        <v>1</v>
      </c>
      <c r="G52" s="100"/>
      <c r="H52" s="100"/>
      <c r="I52" s="100"/>
      <c r="J52" s="100"/>
      <c r="K52" s="89">
        <v>0</v>
      </c>
      <c r="L52" s="100"/>
      <c r="M52" s="100"/>
      <c r="N52" s="100"/>
      <c r="O52" s="100"/>
      <c r="P52" s="89">
        <v>3</v>
      </c>
      <c r="Q52" s="100"/>
      <c r="R52" s="100"/>
      <c r="S52" s="100"/>
      <c r="T52" s="100"/>
      <c r="U52" s="92">
        <v>0</v>
      </c>
      <c r="V52" s="100"/>
      <c r="W52" s="100"/>
      <c r="X52" s="100"/>
    </row>
    <row r="53" spans="1:24">
      <c r="A53" s="89">
        <v>19</v>
      </c>
      <c r="B53" s="100"/>
      <c r="C53" s="100"/>
      <c r="D53" s="100"/>
      <c r="E53" s="100"/>
      <c r="F53" s="91">
        <v>0</v>
      </c>
      <c r="G53" s="100"/>
      <c r="H53" s="100"/>
      <c r="I53" s="100"/>
      <c r="J53" s="100"/>
      <c r="K53" s="89">
        <v>0</v>
      </c>
      <c r="L53" s="100"/>
      <c r="M53" s="100"/>
      <c r="N53" s="100"/>
      <c r="O53" s="100"/>
      <c r="P53" s="89">
        <v>0</v>
      </c>
      <c r="Q53" s="100"/>
      <c r="R53" s="100"/>
      <c r="S53" s="100"/>
      <c r="T53" s="100"/>
      <c r="U53" s="92">
        <v>0</v>
      </c>
      <c r="V53" s="100"/>
      <c r="W53" s="100"/>
      <c r="X53" s="100"/>
    </row>
    <row r="54" spans="1:24">
      <c r="A54" s="89">
        <v>19</v>
      </c>
      <c r="B54" s="100"/>
      <c r="C54" s="100"/>
      <c r="D54" s="100"/>
      <c r="E54" s="100"/>
      <c r="F54" s="91">
        <v>0</v>
      </c>
      <c r="G54" s="100"/>
      <c r="H54" s="100"/>
      <c r="I54" s="100"/>
      <c r="J54" s="100"/>
      <c r="K54" s="89">
        <v>0</v>
      </c>
      <c r="L54" s="100"/>
      <c r="M54" s="100"/>
      <c r="N54" s="100"/>
      <c r="O54" s="100"/>
      <c r="P54" s="89">
        <v>0</v>
      </c>
      <c r="Q54" s="100"/>
      <c r="R54" s="100"/>
      <c r="S54" s="100"/>
      <c r="T54" s="100"/>
      <c r="U54" s="92">
        <v>1.5</v>
      </c>
      <c r="V54" s="100"/>
      <c r="W54" s="100"/>
      <c r="X54" s="100"/>
    </row>
    <row r="55" spans="1:24">
      <c r="A55" s="89">
        <v>19</v>
      </c>
      <c r="B55" s="100"/>
      <c r="C55" s="100"/>
      <c r="D55" s="100"/>
      <c r="E55" s="100"/>
      <c r="F55" s="91">
        <v>1</v>
      </c>
      <c r="G55" s="100"/>
      <c r="H55" s="100"/>
      <c r="I55" s="100"/>
      <c r="J55" s="100"/>
      <c r="K55" s="89">
        <v>0</v>
      </c>
      <c r="L55" s="100"/>
      <c r="M55" s="100"/>
      <c r="N55" s="100"/>
      <c r="O55" s="100"/>
      <c r="P55" s="89">
        <v>2</v>
      </c>
      <c r="Q55" s="100"/>
      <c r="R55" s="100"/>
      <c r="S55" s="100"/>
      <c r="T55" s="100"/>
      <c r="U55" s="92">
        <v>0</v>
      </c>
      <c r="V55" s="100"/>
      <c r="W55" s="100"/>
      <c r="X55" s="100"/>
    </row>
    <row r="56" spans="1:24">
      <c r="A56" s="89">
        <v>20</v>
      </c>
      <c r="B56" s="100"/>
      <c r="C56" s="100"/>
      <c r="D56" s="100"/>
      <c r="E56" s="100"/>
      <c r="F56" s="91">
        <v>0</v>
      </c>
      <c r="G56" s="100"/>
      <c r="H56" s="100"/>
      <c r="I56" s="100"/>
      <c r="J56" s="100"/>
      <c r="K56" s="89">
        <v>0</v>
      </c>
      <c r="L56" s="100"/>
      <c r="M56" s="100"/>
      <c r="N56" s="100"/>
      <c r="O56" s="100"/>
      <c r="P56" s="89">
        <v>4</v>
      </c>
      <c r="Q56" s="100"/>
      <c r="R56" s="100"/>
      <c r="S56" s="100"/>
      <c r="T56" s="100"/>
      <c r="U56" s="92">
        <v>50</v>
      </c>
      <c r="V56" s="100"/>
      <c r="W56" s="100"/>
      <c r="X56" s="100"/>
    </row>
    <row r="57" spans="1:24">
      <c r="A57" s="89">
        <v>20</v>
      </c>
      <c r="B57" s="100"/>
      <c r="C57" s="100"/>
      <c r="D57" s="100"/>
      <c r="E57" s="100"/>
      <c r="F57" s="91">
        <v>30</v>
      </c>
      <c r="G57" s="100"/>
      <c r="H57" s="100"/>
      <c r="I57" s="100"/>
      <c r="J57" s="100"/>
      <c r="K57" s="89">
        <v>2</v>
      </c>
      <c r="L57" s="100"/>
      <c r="M57" s="100"/>
      <c r="N57" s="100"/>
      <c r="O57" s="100"/>
      <c r="P57" s="89">
        <v>2</v>
      </c>
      <c r="Q57" s="100"/>
      <c r="R57" s="100"/>
      <c r="S57" s="100"/>
      <c r="T57" s="100"/>
      <c r="U57" s="92">
        <v>300.5</v>
      </c>
      <c r="V57" s="100"/>
      <c r="W57" s="100"/>
      <c r="X57" s="100"/>
    </row>
    <row r="58" spans="1:24">
      <c r="A58" s="89">
        <v>20</v>
      </c>
      <c r="B58" s="100"/>
      <c r="C58" s="100"/>
      <c r="D58" s="100"/>
      <c r="E58" s="100"/>
      <c r="F58" s="91">
        <v>0.5</v>
      </c>
      <c r="G58" s="100"/>
      <c r="H58" s="100"/>
      <c r="I58" s="100"/>
      <c r="J58" s="100"/>
      <c r="K58" s="89">
        <v>0</v>
      </c>
      <c r="L58" s="100"/>
      <c r="M58" s="100"/>
      <c r="N58" s="100"/>
      <c r="O58" s="100"/>
      <c r="P58" s="89">
        <v>2</v>
      </c>
      <c r="Q58" s="100"/>
      <c r="R58" s="100"/>
      <c r="S58" s="100"/>
      <c r="T58" s="100"/>
      <c r="U58" s="92">
        <v>18</v>
      </c>
      <c r="V58" s="100"/>
      <c r="W58" s="100"/>
      <c r="X58" s="100"/>
    </row>
    <row r="59" spans="1:24">
      <c r="A59" s="89">
        <v>20</v>
      </c>
      <c r="B59" s="100"/>
      <c r="C59" s="100"/>
      <c r="D59" s="100"/>
      <c r="E59" s="100"/>
      <c r="F59" s="91">
        <v>0</v>
      </c>
      <c r="G59" s="100"/>
      <c r="H59" s="100"/>
      <c r="I59" s="100"/>
      <c r="J59" s="100"/>
      <c r="K59" s="89">
        <v>0</v>
      </c>
      <c r="L59" s="100"/>
      <c r="M59" s="100"/>
      <c r="N59" s="100"/>
      <c r="O59" s="100"/>
      <c r="P59" s="89">
        <v>5</v>
      </c>
      <c r="Q59" s="100"/>
      <c r="R59" s="100"/>
      <c r="S59" s="100"/>
      <c r="T59" s="100"/>
      <c r="U59" s="92">
        <v>20</v>
      </c>
      <c r="V59" s="100"/>
      <c r="W59" s="100"/>
      <c r="X59" s="100"/>
    </row>
    <row r="60" spans="1:24">
      <c r="A60" s="89">
        <v>20</v>
      </c>
      <c r="B60" s="100"/>
      <c r="C60" s="100"/>
      <c r="D60" s="100"/>
      <c r="E60" s="100"/>
      <c r="F60" s="91">
        <v>5</v>
      </c>
      <c r="G60" s="100"/>
      <c r="H60" s="100"/>
      <c r="I60" s="100"/>
      <c r="J60" s="100"/>
      <c r="K60" s="89">
        <v>0</v>
      </c>
      <c r="L60" s="100"/>
      <c r="M60" s="100"/>
      <c r="N60" s="100"/>
      <c r="O60" s="100"/>
      <c r="P60" s="89">
        <v>5</v>
      </c>
      <c r="Q60" s="100"/>
      <c r="R60" s="100"/>
      <c r="S60" s="100"/>
      <c r="T60" s="100"/>
      <c r="U60" s="92">
        <v>20</v>
      </c>
      <c r="V60" s="100"/>
      <c r="W60" s="100"/>
      <c r="X60" s="100"/>
    </row>
    <row r="61" spans="1:24">
      <c r="A61" s="89">
        <v>20</v>
      </c>
      <c r="B61" s="100"/>
      <c r="C61" s="100"/>
      <c r="D61" s="100"/>
      <c r="E61" s="100"/>
      <c r="F61" s="91">
        <v>0</v>
      </c>
      <c r="G61" s="100"/>
      <c r="H61" s="100"/>
      <c r="I61" s="100"/>
      <c r="J61" s="100"/>
      <c r="K61" s="89">
        <v>0</v>
      </c>
      <c r="L61" s="100"/>
      <c r="M61" s="100"/>
      <c r="N61" s="100"/>
      <c r="O61" s="100"/>
      <c r="P61" s="89">
        <v>5</v>
      </c>
      <c r="Q61" s="100"/>
      <c r="R61" s="100"/>
      <c r="S61" s="100"/>
      <c r="T61" s="100"/>
      <c r="U61" s="92">
        <v>25</v>
      </c>
      <c r="V61" s="100"/>
      <c r="W61" s="100"/>
      <c r="X61" s="100"/>
    </row>
    <row r="62" spans="1:24">
      <c r="A62" s="89">
        <v>20</v>
      </c>
      <c r="B62" s="100"/>
      <c r="C62" s="100"/>
      <c r="D62" s="100"/>
      <c r="E62" s="100"/>
      <c r="F62" s="91">
        <v>5</v>
      </c>
      <c r="G62" s="100"/>
      <c r="H62" s="100"/>
      <c r="I62" s="100"/>
      <c r="J62" s="100"/>
      <c r="K62" s="89">
        <v>10</v>
      </c>
      <c r="L62" s="100"/>
      <c r="M62" s="100"/>
      <c r="N62" s="100"/>
      <c r="O62" s="100"/>
      <c r="P62" s="89">
        <v>20</v>
      </c>
      <c r="Q62" s="100"/>
      <c r="R62" s="100"/>
      <c r="S62" s="100"/>
      <c r="T62" s="100"/>
      <c r="U62" s="92">
        <v>50</v>
      </c>
      <c r="V62" s="100"/>
      <c r="W62" s="100"/>
      <c r="X62" s="100"/>
    </row>
    <row r="63" spans="1:24">
      <c r="A63" s="89">
        <v>20</v>
      </c>
      <c r="B63" s="100"/>
      <c r="C63" s="100"/>
      <c r="D63" s="100"/>
      <c r="E63" s="100"/>
      <c r="F63" s="91">
        <v>6</v>
      </c>
      <c r="G63" s="100"/>
      <c r="H63" s="100"/>
      <c r="I63" s="100"/>
      <c r="J63" s="100"/>
      <c r="K63" s="89">
        <v>0</v>
      </c>
      <c r="L63" s="100"/>
      <c r="M63" s="100"/>
      <c r="N63" s="100"/>
      <c r="O63" s="100"/>
      <c r="P63" s="89">
        <v>5</v>
      </c>
      <c r="Q63" s="100"/>
      <c r="R63" s="100"/>
      <c r="S63" s="100"/>
      <c r="T63" s="100"/>
      <c r="U63" s="92">
        <v>120.59</v>
      </c>
      <c r="V63" s="100"/>
      <c r="W63" s="100"/>
      <c r="X63" s="100"/>
    </row>
    <row r="64" spans="1:24">
      <c r="A64" s="89">
        <v>20</v>
      </c>
      <c r="B64" s="100"/>
      <c r="C64" s="100"/>
      <c r="D64" s="100"/>
      <c r="E64" s="100"/>
      <c r="F64" s="91">
        <v>40</v>
      </c>
      <c r="G64" s="100"/>
      <c r="H64" s="100"/>
      <c r="I64" s="100"/>
      <c r="J64" s="100"/>
      <c r="K64" s="89">
        <v>2</v>
      </c>
      <c r="L64" s="100"/>
      <c r="M64" s="100"/>
      <c r="N64" s="100"/>
      <c r="O64" s="100"/>
      <c r="P64" s="89">
        <v>3</v>
      </c>
      <c r="Q64" s="100"/>
      <c r="R64" s="100"/>
      <c r="S64" s="100"/>
      <c r="T64" s="100"/>
      <c r="U64" s="92">
        <v>50.5</v>
      </c>
      <c r="V64" s="100"/>
      <c r="W64" s="100"/>
      <c r="X64" s="100"/>
    </row>
    <row r="65" spans="1:24">
      <c r="A65" s="89">
        <v>20</v>
      </c>
      <c r="B65" s="100"/>
      <c r="C65" s="100"/>
      <c r="D65" s="100"/>
      <c r="E65" s="100"/>
      <c r="F65" s="91">
        <v>4.5</v>
      </c>
      <c r="G65" s="100"/>
      <c r="H65" s="100"/>
      <c r="I65" s="100"/>
      <c r="J65" s="100"/>
      <c r="K65" s="89">
        <v>1</v>
      </c>
      <c r="L65" s="100"/>
      <c r="M65" s="100"/>
      <c r="N65" s="100"/>
      <c r="O65" s="100"/>
      <c r="P65" s="89">
        <v>2</v>
      </c>
      <c r="Q65" s="100"/>
      <c r="R65" s="100"/>
      <c r="S65" s="100"/>
      <c r="T65" s="100"/>
      <c r="U65" s="92">
        <v>20.99</v>
      </c>
      <c r="V65" s="100"/>
      <c r="W65" s="100"/>
      <c r="X65" s="100"/>
    </row>
    <row r="66" spans="1:24">
      <c r="A66" s="89">
        <v>20</v>
      </c>
      <c r="B66" s="100"/>
      <c r="C66" s="100"/>
      <c r="D66" s="100"/>
      <c r="E66" s="100"/>
      <c r="F66" s="91">
        <v>3.5</v>
      </c>
      <c r="G66" s="100"/>
      <c r="H66" s="100"/>
      <c r="I66" s="100"/>
      <c r="J66" s="100"/>
      <c r="K66" s="89">
        <v>0</v>
      </c>
      <c r="L66" s="100"/>
      <c r="M66" s="100"/>
      <c r="N66" s="100"/>
      <c r="O66" s="100"/>
      <c r="P66" s="89">
        <v>0</v>
      </c>
      <c r="Q66" s="100"/>
      <c r="R66" s="100"/>
      <c r="S66" s="100"/>
      <c r="T66" s="100"/>
      <c r="U66" s="92">
        <v>10.7</v>
      </c>
      <c r="V66" s="100"/>
      <c r="W66" s="100"/>
      <c r="X66" s="100"/>
    </row>
    <row r="67" spans="1:24">
      <c r="A67" s="89">
        <v>20</v>
      </c>
      <c r="B67" s="100"/>
      <c r="C67" s="100"/>
      <c r="D67" s="100"/>
      <c r="E67" s="100"/>
      <c r="F67" s="91">
        <v>0</v>
      </c>
      <c r="G67" s="100"/>
      <c r="H67" s="100"/>
      <c r="I67" s="100"/>
      <c r="J67" s="100"/>
      <c r="K67" s="89">
        <v>0</v>
      </c>
      <c r="L67" s="100"/>
      <c r="M67" s="100"/>
      <c r="N67" s="100"/>
      <c r="O67" s="100"/>
      <c r="P67" s="89">
        <v>0</v>
      </c>
      <c r="Q67" s="100"/>
      <c r="R67" s="100"/>
      <c r="S67" s="100"/>
      <c r="T67" s="100"/>
      <c r="U67" s="92">
        <v>20.5</v>
      </c>
      <c r="V67" s="100"/>
      <c r="W67" s="100"/>
      <c r="X67" s="100"/>
    </row>
    <row r="68" spans="1:24">
      <c r="A68" s="89">
        <v>20</v>
      </c>
      <c r="B68" s="100"/>
      <c r="C68" s="100"/>
      <c r="D68" s="100"/>
      <c r="E68" s="100"/>
      <c r="F68" s="91">
        <v>15</v>
      </c>
      <c r="G68" s="100"/>
      <c r="H68" s="100"/>
      <c r="I68" s="100"/>
      <c r="J68" s="100"/>
      <c r="K68" s="89">
        <v>1</v>
      </c>
      <c r="L68" s="100"/>
      <c r="M68" s="100"/>
      <c r="N68" s="100"/>
      <c r="O68" s="100"/>
      <c r="P68" s="89">
        <v>2</v>
      </c>
      <c r="Q68" s="100"/>
      <c r="R68" s="100"/>
      <c r="S68" s="100"/>
      <c r="T68" s="100"/>
      <c r="U68" s="92">
        <v>49.99</v>
      </c>
      <c r="V68" s="100"/>
      <c r="W68" s="100"/>
      <c r="X68" s="100"/>
    </row>
    <row r="69" spans="1:24">
      <c r="A69" s="89">
        <v>20</v>
      </c>
      <c r="B69" s="100"/>
      <c r="C69" s="100"/>
      <c r="D69" s="100"/>
      <c r="E69" s="100"/>
      <c r="F69" s="91">
        <v>12.5</v>
      </c>
      <c r="G69" s="100"/>
      <c r="H69" s="100"/>
      <c r="I69" s="100"/>
      <c r="J69" s="100"/>
      <c r="K69" s="89">
        <v>0</v>
      </c>
      <c r="L69" s="100"/>
      <c r="M69" s="100"/>
      <c r="N69" s="100"/>
      <c r="O69" s="100"/>
      <c r="P69" s="89">
        <v>2</v>
      </c>
      <c r="Q69" s="100"/>
      <c r="R69" s="100"/>
      <c r="S69" s="100"/>
      <c r="T69" s="100"/>
      <c r="U69" s="92">
        <v>40.5</v>
      </c>
      <c r="V69" s="100"/>
      <c r="W69" s="100"/>
      <c r="X69" s="100"/>
    </row>
    <row r="70" spans="1:24">
      <c r="A70" s="89">
        <v>20</v>
      </c>
      <c r="B70" s="100"/>
      <c r="C70" s="100"/>
      <c r="D70" s="100"/>
      <c r="E70" s="100"/>
      <c r="F70" s="91">
        <v>10.5</v>
      </c>
      <c r="G70" s="100"/>
      <c r="H70" s="100"/>
      <c r="I70" s="100"/>
      <c r="J70" s="100"/>
      <c r="K70" s="89">
        <v>0</v>
      </c>
      <c r="L70" s="100"/>
      <c r="M70" s="100"/>
      <c r="N70" s="100"/>
      <c r="O70" s="100"/>
      <c r="P70" s="89">
        <v>1</v>
      </c>
      <c r="Q70" s="100"/>
      <c r="R70" s="100"/>
      <c r="S70" s="100"/>
      <c r="T70" s="100"/>
      <c r="U70" s="92">
        <v>250.5</v>
      </c>
      <c r="V70" s="100"/>
      <c r="W70" s="100"/>
      <c r="X70" s="100"/>
    </row>
    <row r="71" spans="1:24">
      <c r="A71" s="89">
        <v>20</v>
      </c>
      <c r="B71" s="100"/>
      <c r="C71" s="100"/>
      <c r="D71" s="100"/>
      <c r="E71" s="100"/>
      <c r="F71" s="91">
        <v>0.5</v>
      </c>
      <c r="G71" s="100"/>
      <c r="H71" s="100"/>
      <c r="I71" s="100"/>
      <c r="J71" s="100"/>
      <c r="K71" s="89">
        <v>1</v>
      </c>
      <c r="L71" s="100"/>
      <c r="M71" s="100"/>
      <c r="N71" s="100"/>
      <c r="O71" s="100"/>
      <c r="P71" s="89">
        <v>4</v>
      </c>
      <c r="Q71" s="100"/>
      <c r="R71" s="100"/>
      <c r="S71" s="100"/>
      <c r="T71" s="100"/>
      <c r="U71" s="92">
        <v>10</v>
      </c>
      <c r="V71" s="100"/>
      <c r="W71" s="100"/>
      <c r="X71" s="100"/>
    </row>
    <row r="72" spans="1:24">
      <c r="A72" s="89">
        <v>20</v>
      </c>
      <c r="B72" s="100"/>
      <c r="C72" s="100"/>
      <c r="D72" s="100"/>
      <c r="E72" s="100"/>
      <c r="F72" s="91">
        <v>4.75</v>
      </c>
      <c r="G72" s="100"/>
      <c r="H72" s="100"/>
      <c r="I72" s="100"/>
      <c r="J72" s="100"/>
      <c r="K72" s="89">
        <v>1</v>
      </c>
      <c r="L72" s="100"/>
      <c r="M72" s="100"/>
      <c r="N72" s="100"/>
      <c r="O72" s="100"/>
      <c r="P72" s="89">
        <v>9</v>
      </c>
      <c r="Q72" s="100"/>
      <c r="R72" s="100"/>
      <c r="S72" s="100"/>
      <c r="T72" s="100"/>
      <c r="U72" s="92">
        <v>30</v>
      </c>
      <c r="V72" s="100"/>
      <c r="W72" s="100"/>
      <c r="X72" s="100"/>
    </row>
    <row r="73" spans="1:24">
      <c r="A73" s="89">
        <v>20</v>
      </c>
      <c r="B73" s="100"/>
      <c r="C73" s="100"/>
      <c r="D73" s="100"/>
      <c r="E73" s="100"/>
      <c r="F73" s="91">
        <v>0</v>
      </c>
      <c r="G73" s="100"/>
      <c r="H73" s="100"/>
      <c r="I73" s="100"/>
      <c r="J73" s="100"/>
      <c r="K73" s="89">
        <v>0</v>
      </c>
      <c r="L73" s="100"/>
      <c r="M73" s="100"/>
      <c r="N73" s="100"/>
      <c r="O73" s="100"/>
      <c r="P73" s="89">
        <v>1</v>
      </c>
      <c r="Q73" s="100"/>
      <c r="R73" s="100"/>
      <c r="S73" s="100"/>
      <c r="T73" s="100"/>
      <c r="U73" s="92">
        <v>5</v>
      </c>
      <c r="V73" s="100"/>
      <c r="W73" s="100"/>
      <c r="X73" s="100"/>
    </row>
    <row r="74" spans="1:24">
      <c r="A74" s="89">
        <v>20</v>
      </c>
      <c r="B74" s="100"/>
      <c r="C74" s="100"/>
      <c r="D74" s="100"/>
      <c r="E74" s="100"/>
      <c r="F74" s="91">
        <v>1</v>
      </c>
      <c r="G74" s="100"/>
      <c r="H74" s="100"/>
      <c r="I74" s="100"/>
      <c r="J74" s="100"/>
      <c r="K74" s="89">
        <v>0</v>
      </c>
      <c r="L74" s="100"/>
      <c r="M74" s="100"/>
      <c r="N74" s="100"/>
      <c r="O74" s="100"/>
      <c r="P74" s="89">
        <v>2</v>
      </c>
      <c r="Q74" s="100"/>
      <c r="R74" s="100"/>
      <c r="S74" s="100"/>
      <c r="T74" s="100"/>
      <c r="U74" s="92">
        <v>20</v>
      </c>
      <c r="V74" s="100"/>
      <c r="W74" s="100"/>
      <c r="X74" s="100"/>
    </row>
    <row r="75" spans="1:24">
      <c r="A75" s="89">
        <v>20</v>
      </c>
      <c r="B75" s="100"/>
      <c r="C75" s="100"/>
      <c r="D75" s="100"/>
      <c r="E75" s="100"/>
      <c r="F75" s="91">
        <v>0</v>
      </c>
      <c r="G75" s="100"/>
      <c r="H75" s="100"/>
      <c r="I75" s="100"/>
      <c r="J75" s="100"/>
      <c r="K75" s="89">
        <v>0</v>
      </c>
      <c r="L75" s="100"/>
      <c r="M75" s="100"/>
      <c r="N75" s="100"/>
      <c r="O75" s="100"/>
      <c r="P75" s="89">
        <v>1</v>
      </c>
      <c r="Q75" s="100"/>
      <c r="R75" s="100"/>
      <c r="S75" s="100"/>
      <c r="T75" s="100"/>
      <c r="U75" s="92">
        <v>15</v>
      </c>
      <c r="V75" s="100"/>
      <c r="W75" s="100"/>
      <c r="X75" s="100"/>
    </row>
    <row r="76" spans="1:24">
      <c r="A76" s="89">
        <v>20</v>
      </c>
      <c r="B76" s="100"/>
      <c r="C76" s="100"/>
      <c r="D76" s="100"/>
      <c r="E76" s="100"/>
      <c r="F76" s="91">
        <v>1</v>
      </c>
      <c r="G76" s="100"/>
      <c r="H76" s="100"/>
      <c r="I76" s="100"/>
      <c r="J76" s="100"/>
      <c r="K76" s="89">
        <v>0</v>
      </c>
      <c r="L76" s="100"/>
      <c r="M76" s="100"/>
      <c r="N76" s="100"/>
      <c r="O76" s="100"/>
      <c r="P76" s="89">
        <v>4</v>
      </c>
      <c r="Q76" s="100"/>
      <c r="R76" s="100"/>
      <c r="S76" s="100"/>
      <c r="T76" s="100"/>
      <c r="U76" s="92">
        <v>25</v>
      </c>
      <c r="V76" s="100"/>
      <c r="W76" s="100"/>
      <c r="X76" s="100"/>
    </row>
    <row r="77" spans="1:24">
      <c r="A77" s="89">
        <v>20</v>
      </c>
      <c r="B77" s="100"/>
      <c r="C77" s="100"/>
      <c r="D77" s="100"/>
      <c r="E77" s="100"/>
      <c r="F77" s="91">
        <v>0</v>
      </c>
      <c r="G77" s="100"/>
      <c r="H77" s="100"/>
      <c r="I77" s="100"/>
      <c r="J77" s="100"/>
      <c r="K77" s="89">
        <v>0</v>
      </c>
      <c r="L77" s="100"/>
      <c r="M77" s="100"/>
      <c r="N77" s="100"/>
      <c r="O77" s="100"/>
      <c r="P77" s="89">
        <v>5</v>
      </c>
      <c r="Q77" s="100"/>
      <c r="R77" s="100"/>
      <c r="S77" s="100"/>
      <c r="T77" s="100"/>
      <c r="U77" s="92">
        <v>0</v>
      </c>
      <c r="V77" s="100"/>
      <c r="W77" s="100"/>
      <c r="X77" s="100"/>
    </row>
    <row r="78" spans="1:24">
      <c r="A78" s="89">
        <v>20</v>
      </c>
      <c r="B78" s="100"/>
      <c r="C78" s="100"/>
      <c r="D78" s="100"/>
      <c r="E78" s="100"/>
      <c r="F78" s="91">
        <v>4</v>
      </c>
      <c r="G78" s="100"/>
      <c r="H78" s="100"/>
      <c r="I78" s="100"/>
      <c r="J78" s="100"/>
      <c r="K78" s="89">
        <v>1</v>
      </c>
      <c r="L78" s="100"/>
      <c r="M78" s="100"/>
      <c r="N78" s="100"/>
      <c r="O78" s="100"/>
      <c r="P78" s="89">
        <v>4</v>
      </c>
      <c r="Q78" s="100"/>
      <c r="R78" s="100"/>
      <c r="S78" s="100"/>
      <c r="T78" s="100"/>
      <c r="U78" s="92">
        <v>25</v>
      </c>
      <c r="V78" s="100"/>
      <c r="W78" s="100"/>
      <c r="X78" s="100"/>
    </row>
    <row r="79" spans="1:24">
      <c r="A79" s="89">
        <v>20</v>
      </c>
      <c r="B79" s="100"/>
      <c r="C79" s="100"/>
      <c r="D79" s="100"/>
      <c r="E79" s="100"/>
      <c r="F79" s="91">
        <v>2.5</v>
      </c>
      <c r="G79" s="100"/>
      <c r="H79" s="100"/>
      <c r="I79" s="100"/>
      <c r="J79" s="100"/>
      <c r="K79" s="89">
        <v>1</v>
      </c>
      <c r="L79" s="100"/>
      <c r="M79" s="100"/>
      <c r="N79" s="100"/>
      <c r="O79" s="100"/>
      <c r="P79" s="89">
        <v>3</v>
      </c>
      <c r="Q79" s="100"/>
      <c r="R79" s="100"/>
      <c r="S79" s="100"/>
      <c r="T79" s="100"/>
      <c r="U79" s="92">
        <v>15</v>
      </c>
      <c r="V79" s="100"/>
      <c r="W79" s="100"/>
      <c r="X79" s="100"/>
    </row>
    <row r="80" spans="1:24">
      <c r="A80" s="89">
        <v>20</v>
      </c>
      <c r="B80" s="100"/>
      <c r="C80" s="100"/>
      <c r="D80" s="100"/>
      <c r="E80" s="100"/>
      <c r="F80" s="91">
        <v>2</v>
      </c>
      <c r="G80" s="100"/>
      <c r="H80" s="100"/>
      <c r="I80" s="100"/>
      <c r="J80" s="100"/>
      <c r="K80" s="89">
        <v>1</v>
      </c>
      <c r="L80" s="100"/>
      <c r="M80" s="100"/>
      <c r="N80" s="100"/>
      <c r="O80" s="100"/>
      <c r="P80" s="89">
        <v>3</v>
      </c>
      <c r="Q80" s="100"/>
      <c r="R80" s="100"/>
      <c r="S80" s="100"/>
      <c r="T80" s="100"/>
      <c r="U80" s="92">
        <v>20</v>
      </c>
      <c r="V80" s="100"/>
      <c r="W80" s="100"/>
      <c r="X80" s="100"/>
    </row>
    <row r="81" spans="1:24">
      <c r="A81" s="89">
        <v>20</v>
      </c>
      <c r="B81" s="100"/>
      <c r="C81" s="100"/>
      <c r="D81" s="100"/>
      <c r="E81" s="100"/>
      <c r="F81" s="91">
        <v>0</v>
      </c>
      <c r="G81" s="100"/>
      <c r="H81" s="100"/>
      <c r="I81" s="100"/>
      <c r="J81" s="100"/>
      <c r="K81" s="89">
        <v>0</v>
      </c>
      <c r="L81" s="100"/>
      <c r="M81" s="100"/>
      <c r="N81" s="100"/>
      <c r="O81" s="100"/>
      <c r="P81" s="89">
        <v>0</v>
      </c>
      <c r="Q81" s="100"/>
      <c r="R81" s="100"/>
      <c r="S81" s="100"/>
      <c r="T81" s="100"/>
      <c r="U81" s="92">
        <v>0</v>
      </c>
      <c r="V81" s="100"/>
      <c r="W81" s="100"/>
      <c r="X81" s="100"/>
    </row>
    <row r="82" spans="1:24">
      <c r="A82" s="89">
        <v>20</v>
      </c>
      <c r="B82" s="100"/>
      <c r="C82" s="100"/>
      <c r="D82" s="100"/>
      <c r="E82" s="100"/>
      <c r="F82" s="91">
        <v>0</v>
      </c>
      <c r="G82" s="100"/>
      <c r="H82" s="100"/>
      <c r="I82" s="100"/>
      <c r="J82" s="100"/>
      <c r="K82" s="89">
        <v>0</v>
      </c>
      <c r="L82" s="100"/>
      <c r="M82" s="100"/>
      <c r="N82" s="100"/>
      <c r="O82" s="100"/>
      <c r="P82" s="89">
        <v>0</v>
      </c>
      <c r="Q82" s="100"/>
      <c r="R82" s="100"/>
      <c r="S82" s="100"/>
      <c r="T82" s="100"/>
      <c r="U82" s="92">
        <v>0</v>
      </c>
      <c r="V82" s="100"/>
      <c r="W82" s="100"/>
      <c r="X82" s="100"/>
    </row>
    <row r="83" spans="1:24">
      <c r="A83" s="89">
        <v>20</v>
      </c>
      <c r="B83" s="100"/>
      <c r="C83" s="100"/>
      <c r="D83" s="100"/>
      <c r="E83" s="100"/>
      <c r="F83" s="91">
        <v>0</v>
      </c>
      <c r="G83" s="100"/>
      <c r="H83" s="100"/>
      <c r="I83" s="100"/>
      <c r="J83" s="100"/>
      <c r="K83" s="89">
        <v>0</v>
      </c>
      <c r="L83" s="100"/>
      <c r="M83" s="100"/>
      <c r="N83" s="100"/>
      <c r="O83" s="100"/>
      <c r="P83" s="89">
        <v>0</v>
      </c>
      <c r="Q83" s="100"/>
      <c r="R83" s="100"/>
      <c r="S83" s="100"/>
      <c r="T83" s="100"/>
      <c r="U83" s="92">
        <v>0</v>
      </c>
      <c r="V83" s="100"/>
      <c r="W83" s="100"/>
      <c r="X83" s="100"/>
    </row>
    <row r="84" spans="1:24">
      <c r="A84" s="89">
        <v>20</v>
      </c>
      <c r="B84" s="100"/>
      <c r="C84" s="100"/>
      <c r="D84" s="100"/>
      <c r="E84" s="100"/>
      <c r="F84" s="91">
        <v>1</v>
      </c>
      <c r="G84" s="100"/>
      <c r="H84" s="100"/>
      <c r="I84" s="100"/>
      <c r="J84" s="100"/>
      <c r="K84" s="89">
        <v>0</v>
      </c>
      <c r="L84" s="100"/>
      <c r="M84" s="100"/>
      <c r="N84" s="100"/>
      <c r="O84" s="100"/>
      <c r="P84" s="89">
        <v>2</v>
      </c>
      <c r="Q84" s="100"/>
      <c r="R84" s="100"/>
      <c r="S84" s="100"/>
      <c r="T84" s="100"/>
      <c r="U84" s="92">
        <v>10</v>
      </c>
      <c r="V84" s="100"/>
      <c r="W84" s="100"/>
      <c r="X84" s="100"/>
    </row>
    <row r="85" spans="1:24">
      <c r="A85" s="89">
        <v>20</v>
      </c>
      <c r="B85" s="100"/>
      <c r="C85" s="100"/>
      <c r="D85" s="100"/>
      <c r="E85" s="100"/>
      <c r="F85" s="91">
        <v>0</v>
      </c>
      <c r="G85" s="100"/>
      <c r="H85" s="100"/>
      <c r="I85" s="100"/>
      <c r="J85" s="100"/>
      <c r="K85" s="89">
        <v>0</v>
      </c>
      <c r="L85" s="100"/>
      <c r="M85" s="100"/>
      <c r="N85" s="100"/>
      <c r="O85" s="100"/>
      <c r="P85" s="89">
        <v>0</v>
      </c>
      <c r="Q85" s="100"/>
      <c r="R85" s="100"/>
      <c r="S85" s="100"/>
      <c r="T85" s="100"/>
      <c r="U85" s="92">
        <v>0</v>
      </c>
      <c r="V85" s="100"/>
      <c r="W85" s="100"/>
      <c r="X85" s="100"/>
    </row>
    <row r="86" spans="1:24">
      <c r="A86" s="89">
        <v>20</v>
      </c>
      <c r="B86" s="100"/>
      <c r="C86" s="100"/>
      <c r="D86" s="100"/>
      <c r="E86" s="100"/>
      <c r="F86" s="91">
        <v>0</v>
      </c>
      <c r="G86" s="100"/>
      <c r="H86" s="100"/>
      <c r="I86" s="100"/>
      <c r="J86" s="100"/>
      <c r="K86" s="89">
        <v>0</v>
      </c>
      <c r="L86" s="100"/>
      <c r="M86" s="100"/>
      <c r="N86" s="100"/>
      <c r="O86" s="100"/>
      <c r="P86" s="89">
        <v>0</v>
      </c>
      <c r="Q86" s="100"/>
      <c r="R86" s="100"/>
      <c r="S86" s="100"/>
      <c r="T86" s="100"/>
      <c r="U86" s="92">
        <v>0</v>
      </c>
      <c r="V86" s="100"/>
      <c r="W86" s="100"/>
      <c r="X86" s="100"/>
    </row>
    <row r="87" spans="1:24">
      <c r="A87" s="89">
        <v>20</v>
      </c>
      <c r="B87" s="100"/>
      <c r="C87" s="100"/>
      <c r="D87" s="100"/>
      <c r="E87" s="100"/>
      <c r="F87" s="91">
        <v>0</v>
      </c>
      <c r="G87" s="100"/>
      <c r="H87" s="100"/>
      <c r="I87" s="100"/>
      <c r="J87" s="100"/>
      <c r="K87" s="89">
        <v>0</v>
      </c>
      <c r="L87" s="100"/>
      <c r="M87" s="100"/>
      <c r="N87" s="100"/>
      <c r="O87" s="100"/>
      <c r="P87" s="89">
        <v>0</v>
      </c>
      <c r="Q87" s="100"/>
      <c r="R87" s="100"/>
      <c r="S87" s="100"/>
      <c r="T87" s="100"/>
      <c r="U87" s="92">
        <v>0</v>
      </c>
      <c r="V87" s="100"/>
      <c r="W87" s="100"/>
      <c r="X87" s="100"/>
    </row>
    <row r="88" spans="1:24">
      <c r="A88" s="89">
        <v>20</v>
      </c>
      <c r="B88" s="100"/>
      <c r="C88" s="100"/>
      <c r="D88" s="100"/>
      <c r="E88" s="100"/>
      <c r="F88" s="91">
        <v>0</v>
      </c>
      <c r="G88" s="100"/>
      <c r="H88" s="100"/>
      <c r="I88" s="100"/>
      <c r="J88" s="100"/>
      <c r="K88" s="89">
        <v>0</v>
      </c>
      <c r="L88" s="100"/>
      <c r="M88" s="100"/>
      <c r="N88" s="100"/>
      <c r="O88" s="100"/>
      <c r="P88" s="89">
        <v>0</v>
      </c>
      <c r="Q88" s="100"/>
      <c r="R88" s="100"/>
      <c r="S88" s="100"/>
      <c r="T88" s="100"/>
      <c r="U88" s="92">
        <v>0</v>
      </c>
      <c r="V88" s="100"/>
      <c r="W88" s="100"/>
      <c r="X88" s="100"/>
    </row>
    <row r="89" spans="1:24">
      <c r="A89" s="89">
        <v>20</v>
      </c>
      <c r="B89" s="100"/>
      <c r="C89" s="100"/>
      <c r="D89" s="100"/>
      <c r="E89" s="100"/>
      <c r="F89" s="91">
        <v>3</v>
      </c>
      <c r="G89" s="100"/>
      <c r="H89" s="100"/>
      <c r="I89" s="100"/>
      <c r="J89" s="100"/>
      <c r="K89" s="89">
        <v>1</v>
      </c>
      <c r="L89" s="100"/>
      <c r="M89" s="100"/>
      <c r="N89" s="100"/>
      <c r="O89" s="100"/>
      <c r="P89" s="89">
        <v>2</v>
      </c>
      <c r="Q89" s="100"/>
      <c r="R89" s="100"/>
      <c r="S89" s="100"/>
      <c r="T89" s="100"/>
      <c r="U89" s="92">
        <v>25</v>
      </c>
      <c r="V89" s="100"/>
      <c r="W89" s="100"/>
      <c r="X89" s="100"/>
    </row>
    <row r="90" spans="1:24">
      <c r="A90" s="89">
        <v>20</v>
      </c>
      <c r="B90" s="100"/>
      <c r="C90" s="100"/>
      <c r="D90" s="100"/>
      <c r="E90" s="100"/>
      <c r="F90" s="91">
        <v>1.5</v>
      </c>
      <c r="G90" s="100"/>
      <c r="H90" s="100"/>
      <c r="I90" s="100"/>
      <c r="J90" s="100"/>
      <c r="K90" s="89">
        <v>0</v>
      </c>
      <c r="L90" s="100"/>
      <c r="M90" s="100"/>
      <c r="N90" s="100"/>
      <c r="O90" s="100"/>
      <c r="P90" s="89">
        <v>4</v>
      </c>
      <c r="Q90" s="100"/>
      <c r="R90" s="100"/>
      <c r="S90" s="100"/>
      <c r="T90" s="100"/>
      <c r="U90" s="92">
        <v>10</v>
      </c>
      <c r="V90" s="100"/>
      <c r="W90" s="100"/>
      <c r="X90" s="100"/>
    </row>
    <row r="91" spans="1:24">
      <c r="A91" s="89">
        <v>20</v>
      </c>
      <c r="B91" s="100"/>
      <c r="C91" s="100"/>
      <c r="D91" s="100"/>
      <c r="E91" s="100"/>
      <c r="F91" s="91">
        <v>0</v>
      </c>
      <c r="G91" s="100"/>
      <c r="H91" s="100"/>
      <c r="I91" s="100"/>
      <c r="J91" s="100"/>
      <c r="K91" s="89">
        <v>0</v>
      </c>
      <c r="L91" s="100"/>
      <c r="M91" s="100"/>
      <c r="N91" s="100"/>
      <c r="O91" s="100"/>
      <c r="P91" s="89">
        <v>1</v>
      </c>
      <c r="Q91" s="100"/>
      <c r="R91" s="100"/>
      <c r="S91" s="100"/>
      <c r="T91" s="100"/>
      <c r="U91" s="92">
        <v>0</v>
      </c>
      <c r="V91" s="100"/>
      <c r="W91" s="100"/>
      <c r="X91" s="100"/>
    </row>
    <row r="92" spans="1:24">
      <c r="A92" s="89">
        <v>20</v>
      </c>
      <c r="B92" s="100"/>
      <c r="C92" s="100"/>
      <c r="D92" s="100"/>
      <c r="E92" s="100"/>
      <c r="F92" s="91">
        <v>3</v>
      </c>
      <c r="G92" s="100"/>
      <c r="H92" s="100"/>
      <c r="I92" s="100"/>
      <c r="J92" s="100"/>
      <c r="K92" s="89">
        <v>2</v>
      </c>
      <c r="L92" s="100"/>
      <c r="M92" s="100"/>
      <c r="N92" s="100"/>
      <c r="O92" s="100"/>
      <c r="P92" s="89">
        <v>0</v>
      </c>
      <c r="Q92" s="100"/>
      <c r="R92" s="100"/>
      <c r="S92" s="100"/>
      <c r="T92" s="100"/>
      <c r="U92" s="92">
        <v>15</v>
      </c>
      <c r="V92" s="100"/>
      <c r="W92" s="100"/>
      <c r="X92" s="100"/>
    </row>
    <row r="93" spans="1:24">
      <c r="A93" s="89">
        <v>20</v>
      </c>
      <c r="B93" s="100"/>
      <c r="C93" s="100"/>
      <c r="D93" s="100"/>
      <c r="E93" s="100"/>
      <c r="F93" s="91">
        <v>1</v>
      </c>
      <c r="G93" s="100"/>
      <c r="H93" s="100"/>
      <c r="I93" s="100"/>
      <c r="J93" s="100"/>
      <c r="K93" s="89">
        <v>0</v>
      </c>
      <c r="L93" s="100"/>
      <c r="M93" s="100"/>
      <c r="N93" s="100"/>
      <c r="O93" s="100"/>
      <c r="P93" s="89">
        <v>2</v>
      </c>
      <c r="Q93" s="100"/>
      <c r="R93" s="100"/>
      <c r="S93" s="100"/>
      <c r="T93" s="100"/>
      <c r="U93" s="92">
        <v>70</v>
      </c>
      <c r="V93" s="100"/>
      <c r="W93" s="100"/>
      <c r="X93" s="100"/>
    </row>
    <row r="94" spans="1:24">
      <c r="A94" s="89">
        <v>20</v>
      </c>
      <c r="B94" s="100"/>
      <c r="C94" s="100"/>
      <c r="D94" s="100"/>
      <c r="E94" s="100"/>
      <c r="F94" s="91">
        <v>1</v>
      </c>
      <c r="G94" s="100"/>
      <c r="H94" s="100"/>
      <c r="I94" s="100"/>
      <c r="J94" s="100"/>
      <c r="K94" s="89">
        <v>0</v>
      </c>
      <c r="L94" s="100"/>
      <c r="M94" s="100"/>
      <c r="N94" s="100"/>
      <c r="O94" s="100"/>
      <c r="P94" s="89">
        <v>1</v>
      </c>
      <c r="Q94" s="100"/>
      <c r="R94" s="100"/>
      <c r="S94" s="100"/>
      <c r="T94" s="100"/>
      <c r="U94" s="92">
        <v>10</v>
      </c>
      <c r="V94" s="100"/>
      <c r="W94" s="100"/>
      <c r="X94" s="100"/>
    </row>
    <row r="95" spans="1:24">
      <c r="A95" s="89">
        <v>20</v>
      </c>
      <c r="B95" s="100"/>
      <c r="C95" s="100"/>
      <c r="D95" s="100"/>
      <c r="E95" s="100"/>
      <c r="F95" s="91">
        <v>0</v>
      </c>
      <c r="G95" s="100"/>
      <c r="H95" s="100"/>
      <c r="I95" s="100"/>
      <c r="J95" s="100"/>
      <c r="K95" s="89">
        <v>0</v>
      </c>
      <c r="L95" s="100"/>
      <c r="M95" s="100"/>
      <c r="N95" s="100"/>
      <c r="O95" s="100"/>
      <c r="P95" s="89">
        <v>1</v>
      </c>
      <c r="Q95" s="100"/>
      <c r="R95" s="100"/>
      <c r="S95" s="100"/>
      <c r="T95" s="100"/>
      <c r="U95" s="92">
        <v>0</v>
      </c>
      <c r="V95" s="100"/>
      <c r="W95" s="100"/>
      <c r="X95" s="100"/>
    </row>
    <row r="96" spans="1:24">
      <c r="A96" s="89">
        <v>20</v>
      </c>
      <c r="B96" s="100"/>
      <c r="C96" s="100"/>
      <c r="D96" s="100"/>
      <c r="E96" s="100"/>
      <c r="F96" s="91">
        <v>32</v>
      </c>
      <c r="G96" s="100"/>
      <c r="H96" s="100"/>
      <c r="I96" s="100"/>
      <c r="J96" s="100"/>
      <c r="K96" s="89">
        <v>3</v>
      </c>
      <c r="L96" s="100"/>
      <c r="M96" s="100"/>
      <c r="N96" s="100"/>
      <c r="O96" s="100"/>
      <c r="P96" s="89">
        <v>5</v>
      </c>
      <c r="Q96" s="100"/>
      <c r="R96" s="100"/>
      <c r="S96" s="100"/>
      <c r="T96" s="100"/>
      <c r="U96" s="92">
        <v>0</v>
      </c>
      <c r="V96" s="100"/>
      <c r="W96" s="100"/>
      <c r="X96" s="100"/>
    </row>
    <row r="97" spans="1:24">
      <c r="A97" s="89">
        <v>20</v>
      </c>
      <c r="B97" s="100"/>
      <c r="C97" s="100"/>
      <c r="D97" s="100"/>
      <c r="E97" s="100"/>
      <c r="F97" s="91">
        <v>28</v>
      </c>
      <c r="G97" s="100"/>
      <c r="H97" s="100"/>
      <c r="I97" s="100"/>
      <c r="J97" s="100"/>
      <c r="K97" s="89">
        <v>2</v>
      </c>
      <c r="L97" s="100"/>
      <c r="M97" s="100"/>
      <c r="N97" s="100"/>
      <c r="O97" s="100"/>
      <c r="P97" s="89">
        <v>3</v>
      </c>
      <c r="Q97" s="100"/>
      <c r="R97" s="100"/>
      <c r="S97" s="100"/>
      <c r="T97" s="100"/>
      <c r="U97" s="92">
        <v>0</v>
      </c>
      <c r="V97" s="100"/>
      <c r="W97" s="100"/>
      <c r="X97" s="100"/>
    </row>
    <row r="98" spans="1:24">
      <c r="A98" s="89">
        <v>20</v>
      </c>
      <c r="B98" s="100"/>
      <c r="C98" s="100"/>
      <c r="D98" s="100"/>
      <c r="E98" s="100"/>
      <c r="F98" s="91">
        <v>1</v>
      </c>
      <c r="G98" s="100"/>
      <c r="H98" s="100"/>
      <c r="I98" s="100"/>
      <c r="J98" s="100"/>
      <c r="K98" s="89">
        <v>0</v>
      </c>
      <c r="L98" s="100"/>
      <c r="M98" s="100"/>
      <c r="N98" s="100"/>
      <c r="O98" s="100"/>
      <c r="P98" s="89">
        <v>3</v>
      </c>
      <c r="Q98" s="100"/>
      <c r="R98" s="100"/>
      <c r="S98" s="100"/>
      <c r="T98" s="100"/>
      <c r="U98" s="92">
        <v>0</v>
      </c>
      <c r="V98" s="100"/>
      <c r="W98" s="100"/>
      <c r="X98" s="100"/>
    </row>
    <row r="99" spans="1:24">
      <c r="A99" s="89">
        <v>20</v>
      </c>
      <c r="B99" s="100"/>
      <c r="C99" s="100"/>
      <c r="D99" s="100"/>
      <c r="E99" s="100"/>
      <c r="F99" s="91">
        <v>0</v>
      </c>
      <c r="G99" s="100"/>
      <c r="H99" s="100"/>
      <c r="I99" s="100"/>
      <c r="J99" s="100"/>
      <c r="K99" s="89">
        <v>0</v>
      </c>
      <c r="L99" s="100"/>
      <c r="M99" s="100"/>
      <c r="N99" s="100"/>
      <c r="O99" s="100"/>
      <c r="P99" s="89">
        <v>0</v>
      </c>
      <c r="Q99" s="100"/>
      <c r="R99" s="100"/>
      <c r="S99" s="100"/>
      <c r="T99" s="100"/>
      <c r="U99" s="92">
        <v>0</v>
      </c>
      <c r="V99" s="100"/>
      <c r="W99" s="100"/>
      <c r="X99" s="100"/>
    </row>
    <row r="100" spans="1:24">
      <c r="A100" s="89">
        <v>20</v>
      </c>
      <c r="B100" s="100"/>
      <c r="C100" s="100"/>
      <c r="D100" s="100"/>
      <c r="E100" s="100"/>
      <c r="F100" s="91">
        <v>2</v>
      </c>
      <c r="G100" s="100"/>
      <c r="H100" s="100"/>
      <c r="I100" s="100"/>
      <c r="J100" s="100"/>
      <c r="K100" s="89">
        <v>1</v>
      </c>
      <c r="L100" s="100"/>
      <c r="M100" s="100"/>
      <c r="N100" s="100"/>
      <c r="O100" s="100"/>
      <c r="P100" s="89">
        <v>5</v>
      </c>
      <c r="Q100" s="100"/>
      <c r="R100" s="100"/>
      <c r="S100" s="100"/>
      <c r="T100" s="100"/>
      <c r="U100" s="92">
        <v>25</v>
      </c>
      <c r="V100" s="100"/>
      <c r="W100" s="100"/>
      <c r="X100" s="100"/>
    </row>
    <row r="101" spans="1:24">
      <c r="A101" s="89">
        <v>20</v>
      </c>
      <c r="B101" s="100"/>
      <c r="C101" s="100"/>
      <c r="D101" s="100"/>
      <c r="E101" s="100"/>
      <c r="F101" s="91">
        <v>6</v>
      </c>
      <c r="G101" s="100"/>
      <c r="H101" s="100"/>
      <c r="I101" s="100"/>
      <c r="J101" s="100"/>
      <c r="K101" s="89">
        <v>1</v>
      </c>
      <c r="L101" s="100"/>
      <c r="M101" s="100"/>
      <c r="N101" s="100"/>
      <c r="O101" s="100"/>
      <c r="P101" s="89">
        <v>4</v>
      </c>
      <c r="Q101" s="100"/>
      <c r="R101" s="100"/>
      <c r="S101" s="100"/>
      <c r="T101" s="100"/>
      <c r="U101" s="92">
        <v>30</v>
      </c>
      <c r="V101" s="100"/>
      <c r="W101" s="100"/>
      <c r="X101" s="100"/>
    </row>
    <row r="102" spans="1:24">
      <c r="A102" s="89">
        <v>20</v>
      </c>
      <c r="B102" s="100"/>
      <c r="C102" s="100"/>
      <c r="D102" s="100"/>
      <c r="E102" s="100"/>
      <c r="F102" s="91">
        <v>0</v>
      </c>
      <c r="G102" s="100"/>
      <c r="H102" s="100"/>
      <c r="I102" s="100"/>
      <c r="J102" s="100"/>
      <c r="K102" s="89">
        <v>0</v>
      </c>
      <c r="L102" s="100"/>
      <c r="M102" s="100"/>
      <c r="N102" s="100"/>
      <c r="O102" s="100"/>
      <c r="P102" s="89">
        <v>1</v>
      </c>
      <c r="Q102" s="100"/>
      <c r="R102" s="100"/>
      <c r="S102" s="100"/>
      <c r="T102" s="100"/>
      <c r="U102" s="92">
        <v>40</v>
      </c>
      <c r="V102" s="100"/>
      <c r="W102" s="100"/>
      <c r="X102" s="100"/>
    </row>
    <row r="103" spans="1:24">
      <c r="A103" s="89">
        <v>20</v>
      </c>
      <c r="B103" s="100"/>
      <c r="C103" s="100"/>
      <c r="D103" s="100"/>
      <c r="E103" s="100"/>
      <c r="F103" s="91">
        <v>1</v>
      </c>
      <c r="G103" s="100"/>
      <c r="H103" s="100"/>
      <c r="I103" s="100"/>
      <c r="J103" s="100"/>
      <c r="K103" s="89">
        <v>1</v>
      </c>
      <c r="L103" s="100"/>
      <c r="M103" s="100"/>
      <c r="N103" s="100"/>
      <c r="O103" s="100"/>
      <c r="P103" s="89">
        <v>0</v>
      </c>
      <c r="Q103" s="100"/>
      <c r="R103" s="100"/>
      <c r="S103" s="100"/>
      <c r="T103" s="100"/>
      <c r="U103" s="92">
        <v>0</v>
      </c>
      <c r="V103" s="100"/>
      <c r="W103" s="100"/>
      <c r="X103" s="100"/>
    </row>
    <row r="104" spans="1:24">
      <c r="A104" s="89">
        <v>20</v>
      </c>
      <c r="B104" s="100"/>
      <c r="C104" s="100"/>
      <c r="D104" s="100"/>
      <c r="E104" s="100"/>
      <c r="F104" s="91">
        <v>0</v>
      </c>
      <c r="G104" s="100"/>
      <c r="H104" s="100"/>
      <c r="I104" s="100"/>
      <c r="J104" s="100"/>
      <c r="K104" s="89">
        <v>0</v>
      </c>
      <c r="L104" s="100"/>
      <c r="M104" s="100"/>
      <c r="N104" s="100"/>
      <c r="O104" s="100"/>
      <c r="P104" s="89">
        <v>0</v>
      </c>
      <c r="Q104" s="100"/>
      <c r="R104" s="100"/>
      <c r="S104" s="100"/>
      <c r="T104" s="100"/>
      <c r="U104" s="92">
        <v>0</v>
      </c>
      <c r="V104" s="100"/>
      <c r="W104" s="100"/>
      <c r="X104" s="100"/>
    </row>
    <row r="105" spans="1:24">
      <c r="A105" s="89">
        <v>20</v>
      </c>
      <c r="B105" s="100"/>
      <c r="C105" s="100"/>
      <c r="D105" s="100"/>
      <c r="E105" s="100"/>
      <c r="F105" s="91">
        <v>0.5</v>
      </c>
      <c r="G105" s="100"/>
      <c r="H105" s="100"/>
      <c r="I105" s="100"/>
      <c r="J105" s="100"/>
      <c r="K105" s="89">
        <v>0</v>
      </c>
      <c r="L105" s="100"/>
      <c r="M105" s="100"/>
      <c r="N105" s="100"/>
      <c r="O105" s="100"/>
      <c r="P105" s="89">
        <v>1</v>
      </c>
      <c r="Q105" s="100"/>
      <c r="R105" s="100"/>
      <c r="S105" s="100"/>
      <c r="T105" s="100"/>
      <c r="U105" s="92">
        <v>0</v>
      </c>
      <c r="V105" s="100"/>
      <c r="W105" s="100"/>
      <c r="X105" s="100"/>
    </row>
    <row r="106" spans="1:24">
      <c r="A106" s="89">
        <v>20</v>
      </c>
      <c r="B106" s="100"/>
      <c r="C106" s="100"/>
      <c r="D106" s="100"/>
      <c r="E106" s="100"/>
      <c r="F106" s="91">
        <v>1</v>
      </c>
      <c r="G106" s="100"/>
      <c r="H106" s="100"/>
      <c r="I106" s="100"/>
      <c r="J106" s="100"/>
      <c r="K106" s="89">
        <v>0</v>
      </c>
      <c r="L106" s="100"/>
      <c r="M106" s="100"/>
      <c r="N106" s="100"/>
      <c r="O106" s="100"/>
      <c r="P106" s="89">
        <v>1</v>
      </c>
      <c r="Q106" s="100"/>
      <c r="R106" s="100"/>
      <c r="S106" s="100"/>
      <c r="T106" s="100"/>
      <c r="U106" s="92">
        <v>10</v>
      </c>
      <c r="V106" s="100"/>
      <c r="W106" s="100"/>
      <c r="X106" s="100"/>
    </row>
    <row r="107" spans="1:24">
      <c r="A107" s="89">
        <v>20</v>
      </c>
      <c r="B107" s="100"/>
      <c r="C107" s="100"/>
      <c r="D107" s="100"/>
      <c r="E107" s="100"/>
      <c r="F107" s="91">
        <v>2</v>
      </c>
      <c r="G107" s="100"/>
      <c r="H107" s="100"/>
      <c r="I107" s="100"/>
      <c r="J107" s="100"/>
      <c r="K107" s="89">
        <v>0</v>
      </c>
      <c r="L107" s="100"/>
      <c r="M107" s="100"/>
      <c r="N107" s="100"/>
      <c r="O107" s="100"/>
      <c r="P107" s="89">
        <v>1</v>
      </c>
      <c r="Q107" s="100"/>
      <c r="R107" s="100"/>
      <c r="S107" s="100"/>
      <c r="T107" s="100"/>
      <c r="U107" s="92">
        <v>10</v>
      </c>
      <c r="V107" s="100"/>
      <c r="W107" s="100"/>
      <c r="X107" s="100"/>
    </row>
    <row r="108" spans="1:24">
      <c r="A108" s="89">
        <v>20</v>
      </c>
      <c r="B108" s="100"/>
      <c r="C108" s="100"/>
      <c r="D108" s="100"/>
      <c r="E108" s="100"/>
      <c r="F108" s="91">
        <v>1</v>
      </c>
      <c r="G108" s="100"/>
      <c r="H108" s="100"/>
      <c r="I108" s="100"/>
      <c r="J108" s="100"/>
      <c r="K108" s="89">
        <v>1</v>
      </c>
      <c r="L108" s="100"/>
      <c r="M108" s="100"/>
      <c r="N108" s="100"/>
      <c r="O108" s="100"/>
      <c r="P108" s="89">
        <v>0</v>
      </c>
      <c r="Q108" s="100"/>
      <c r="R108" s="100"/>
      <c r="S108" s="100"/>
      <c r="T108" s="100"/>
      <c r="U108" s="92">
        <v>0</v>
      </c>
      <c r="V108" s="100"/>
      <c r="W108" s="100"/>
      <c r="X108" s="100"/>
    </row>
    <row r="109" spans="1:24">
      <c r="A109" s="89">
        <v>20</v>
      </c>
      <c r="B109" s="100"/>
      <c r="C109" s="100"/>
      <c r="D109" s="100"/>
      <c r="E109" s="100"/>
      <c r="F109" s="91">
        <v>2</v>
      </c>
      <c r="G109" s="100"/>
      <c r="H109" s="100"/>
      <c r="I109" s="100"/>
      <c r="J109" s="100"/>
      <c r="K109" s="89">
        <v>0</v>
      </c>
      <c r="L109" s="100"/>
      <c r="M109" s="100"/>
      <c r="N109" s="100"/>
      <c r="O109" s="100"/>
      <c r="P109" s="89">
        <v>4</v>
      </c>
      <c r="Q109" s="100"/>
      <c r="R109" s="100"/>
      <c r="S109" s="100"/>
      <c r="T109" s="100"/>
      <c r="U109" s="92">
        <v>0</v>
      </c>
      <c r="V109" s="100"/>
      <c r="W109" s="100"/>
      <c r="X109" s="100"/>
    </row>
    <row r="110" spans="1:24">
      <c r="A110" s="89">
        <v>20</v>
      </c>
      <c r="B110" s="100"/>
      <c r="C110" s="100"/>
      <c r="D110" s="100"/>
      <c r="E110" s="100"/>
      <c r="F110" s="91">
        <v>3</v>
      </c>
      <c r="G110" s="100"/>
      <c r="H110" s="100"/>
      <c r="I110" s="100"/>
      <c r="J110" s="100"/>
      <c r="K110" s="89">
        <v>0</v>
      </c>
      <c r="L110" s="100"/>
      <c r="M110" s="100"/>
      <c r="N110" s="100"/>
      <c r="O110" s="100"/>
      <c r="P110" s="89">
        <v>0</v>
      </c>
      <c r="Q110" s="100"/>
      <c r="R110" s="100"/>
      <c r="S110" s="100"/>
      <c r="T110" s="100"/>
      <c r="U110" s="92">
        <v>5</v>
      </c>
      <c r="V110" s="100"/>
      <c r="W110" s="100"/>
      <c r="X110" s="100"/>
    </row>
    <row r="111" spans="1:24">
      <c r="A111" s="89">
        <v>20</v>
      </c>
      <c r="B111" s="100"/>
      <c r="C111" s="100"/>
      <c r="D111" s="100"/>
      <c r="E111" s="100"/>
      <c r="F111" s="91">
        <v>1</v>
      </c>
      <c r="G111" s="100"/>
      <c r="H111" s="100"/>
      <c r="I111" s="100"/>
      <c r="J111" s="100"/>
      <c r="K111" s="89">
        <v>1</v>
      </c>
      <c r="L111" s="100"/>
      <c r="M111" s="100"/>
      <c r="N111" s="100"/>
      <c r="O111" s="100"/>
      <c r="P111" s="89">
        <v>2</v>
      </c>
      <c r="Q111" s="100"/>
      <c r="R111" s="100"/>
      <c r="S111" s="100"/>
      <c r="T111" s="100"/>
      <c r="U111" s="92">
        <v>10</v>
      </c>
      <c r="V111" s="100"/>
      <c r="W111" s="100"/>
      <c r="X111" s="100"/>
    </row>
    <row r="112" spans="1:24">
      <c r="A112" s="89">
        <v>20</v>
      </c>
      <c r="B112" s="100"/>
      <c r="C112" s="100"/>
      <c r="D112" s="100"/>
      <c r="E112" s="100"/>
      <c r="F112" s="91">
        <v>5</v>
      </c>
      <c r="G112" s="100"/>
      <c r="H112" s="100"/>
      <c r="I112" s="100"/>
      <c r="J112" s="100"/>
      <c r="K112" s="89">
        <v>2</v>
      </c>
      <c r="L112" s="100"/>
      <c r="M112" s="100"/>
      <c r="N112" s="100"/>
      <c r="O112" s="100"/>
      <c r="P112" s="89">
        <v>1</v>
      </c>
      <c r="Q112" s="100"/>
      <c r="R112" s="100"/>
      <c r="S112" s="100"/>
      <c r="T112" s="100"/>
      <c r="U112" s="92">
        <v>40</v>
      </c>
      <c r="V112" s="100"/>
      <c r="W112" s="100"/>
      <c r="X112" s="100"/>
    </row>
    <row r="113" spans="1:24">
      <c r="A113" s="89">
        <v>20</v>
      </c>
      <c r="B113" s="100"/>
      <c r="C113" s="100"/>
      <c r="D113" s="100"/>
      <c r="E113" s="100"/>
      <c r="F113" s="91">
        <v>12</v>
      </c>
      <c r="G113" s="100"/>
      <c r="H113" s="100"/>
      <c r="I113" s="100"/>
      <c r="J113" s="100"/>
      <c r="K113" s="89">
        <v>1</v>
      </c>
      <c r="L113" s="100"/>
      <c r="M113" s="100"/>
      <c r="N113" s="100"/>
      <c r="O113" s="100"/>
      <c r="P113" s="89">
        <v>2</v>
      </c>
      <c r="Q113" s="100"/>
      <c r="R113" s="100"/>
      <c r="S113" s="100"/>
      <c r="T113" s="100"/>
      <c r="U113" s="92">
        <v>15</v>
      </c>
      <c r="V113" s="100"/>
      <c r="W113" s="100"/>
      <c r="X113" s="100"/>
    </row>
    <row r="114" spans="1:24">
      <c r="A114" s="89">
        <v>21</v>
      </c>
      <c r="B114" s="100"/>
      <c r="C114" s="100"/>
      <c r="D114" s="100"/>
      <c r="E114" s="100"/>
      <c r="F114" s="91">
        <v>0</v>
      </c>
      <c r="G114" s="100"/>
      <c r="H114" s="100"/>
      <c r="I114" s="100"/>
      <c r="J114" s="100"/>
      <c r="K114" s="89">
        <v>0</v>
      </c>
      <c r="L114" s="100"/>
      <c r="M114" s="100"/>
      <c r="N114" s="100"/>
      <c r="O114" s="100"/>
      <c r="P114" s="89">
        <v>5</v>
      </c>
      <c r="Q114" s="100"/>
      <c r="R114" s="100"/>
      <c r="S114" s="100"/>
      <c r="T114" s="100"/>
      <c r="U114" s="92">
        <v>10</v>
      </c>
      <c r="V114" s="100"/>
      <c r="W114" s="100"/>
      <c r="X114" s="100"/>
    </row>
    <row r="115" spans="1:24">
      <c r="A115" s="89">
        <v>21</v>
      </c>
      <c r="B115" s="100"/>
      <c r="C115" s="100"/>
      <c r="D115" s="100"/>
      <c r="E115" s="100"/>
      <c r="F115" s="91">
        <v>1</v>
      </c>
      <c r="G115" s="100"/>
      <c r="H115" s="100"/>
      <c r="I115" s="100"/>
      <c r="J115" s="100"/>
      <c r="K115" s="89">
        <v>0</v>
      </c>
      <c r="L115" s="100"/>
      <c r="M115" s="100"/>
      <c r="N115" s="100"/>
      <c r="O115" s="100"/>
      <c r="P115" s="89">
        <v>3</v>
      </c>
      <c r="Q115" s="100"/>
      <c r="R115" s="100"/>
      <c r="S115" s="100"/>
      <c r="T115" s="100"/>
      <c r="U115" s="92">
        <v>50</v>
      </c>
      <c r="V115" s="100"/>
      <c r="W115" s="100"/>
      <c r="X115" s="100"/>
    </row>
    <row r="116" spans="1:24">
      <c r="A116" s="89">
        <v>21</v>
      </c>
      <c r="B116" s="100"/>
      <c r="C116" s="100"/>
      <c r="D116" s="100"/>
      <c r="E116" s="100"/>
      <c r="F116" s="91">
        <v>1.5</v>
      </c>
      <c r="G116" s="100"/>
      <c r="H116" s="100"/>
      <c r="I116" s="100"/>
      <c r="J116" s="100"/>
      <c r="K116" s="89">
        <v>0</v>
      </c>
      <c r="L116" s="100"/>
      <c r="M116" s="100"/>
      <c r="N116" s="100"/>
      <c r="O116" s="100"/>
      <c r="P116" s="89">
        <v>10</v>
      </c>
      <c r="Q116" s="100"/>
      <c r="R116" s="100"/>
      <c r="S116" s="100"/>
      <c r="T116" s="100"/>
      <c r="U116" s="92">
        <v>20</v>
      </c>
      <c r="V116" s="100"/>
      <c r="W116" s="100"/>
      <c r="X116" s="100"/>
    </row>
    <row r="117" spans="1:24">
      <c r="A117" s="89">
        <v>21</v>
      </c>
      <c r="B117" s="100"/>
      <c r="C117" s="100"/>
      <c r="D117" s="100"/>
      <c r="E117" s="100"/>
      <c r="F117" s="91">
        <v>2</v>
      </c>
      <c r="G117" s="100"/>
      <c r="H117" s="100"/>
      <c r="I117" s="100"/>
      <c r="J117" s="100"/>
      <c r="K117" s="89">
        <v>0</v>
      </c>
      <c r="L117" s="100"/>
      <c r="M117" s="100"/>
      <c r="N117" s="100"/>
      <c r="O117" s="100"/>
      <c r="P117" s="89">
        <v>2</v>
      </c>
      <c r="Q117" s="100"/>
      <c r="R117" s="100"/>
      <c r="S117" s="100"/>
      <c r="T117" s="100"/>
      <c r="U117" s="92">
        <v>25</v>
      </c>
      <c r="V117" s="100"/>
      <c r="W117" s="100"/>
      <c r="X117" s="100"/>
    </row>
    <row r="118" spans="1:24">
      <c r="A118" s="89">
        <v>21</v>
      </c>
      <c r="B118" s="100"/>
      <c r="C118" s="100"/>
      <c r="D118" s="100"/>
      <c r="E118" s="100"/>
      <c r="F118" s="91">
        <v>2</v>
      </c>
      <c r="G118" s="100"/>
      <c r="H118" s="100"/>
      <c r="I118" s="100"/>
      <c r="J118" s="100"/>
      <c r="K118" s="89">
        <v>0</v>
      </c>
      <c r="L118" s="100"/>
      <c r="M118" s="100"/>
      <c r="N118" s="100"/>
      <c r="O118" s="100"/>
      <c r="P118" s="89">
        <v>1</v>
      </c>
      <c r="Q118" s="100"/>
      <c r="R118" s="100"/>
      <c r="S118" s="100"/>
      <c r="T118" s="100"/>
      <c r="U118" s="92">
        <v>20</v>
      </c>
      <c r="V118" s="100"/>
      <c r="W118" s="100"/>
      <c r="X118" s="100"/>
    </row>
    <row r="119" spans="1:24">
      <c r="A119" s="89">
        <v>21</v>
      </c>
      <c r="B119" s="100"/>
      <c r="C119" s="100"/>
      <c r="D119" s="100"/>
      <c r="E119" s="100"/>
      <c r="F119" s="91">
        <v>5.75</v>
      </c>
      <c r="G119" s="100"/>
      <c r="H119" s="100"/>
      <c r="I119" s="100"/>
      <c r="J119" s="100"/>
      <c r="K119" s="89">
        <v>1</v>
      </c>
      <c r="L119" s="100"/>
      <c r="M119" s="100"/>
      <c r="N119" s="100"/>
      <c r="O119" s="100"/>
      <c r="P119" s="89">
        <v>1</v>
      </c>
      <c r="Q119" s="100"/>
      <c r="R119" s="100"/>
      <c r="S119" s="100"/>
      <c r="T119" s="100"/>
      <c r="U119" s="92">
        <v>8.99</v>
      </c>
      <c r="V119" s="100"/>
      <c r="W119" s="100"/>
      <c r="X119" s="100"/>
    </row>
    <row r="120" spans="1:24">
      <c r="A120" s="89">
        <v>21</v>
      </c>
      <c r="B120" s="100"/>
      <c r="C120" s="100"/>
      <c r="D120" s="100"/>
      <c r="E120" s="100"/>
      <c r="F120" s="91">
        <v>0</v>
      </c>
      <c r="G120" s="100"/>
      <c r="H120" s="100"/>
      <c r="I120" s="100"/>
      <c r="J120" s="100"/>
      <c r="K120" s="89">
        <v>0</v>
      </c>
      <c r="L120" s="100"/>
      <c r="M120" s="100"/>
      <c r="N120" s="100"/>
      <c r="O120" s="100"/>
      <c r="P120" s="89">
        <v>1</v>
      </c>
      <c r="Q120" s="100"/>
      <c r="R120" s="100"/>
      <c r="S120" s="100"/>
      <c r="T120" s="100"/>
      <c r="U120" s="92">
        <v>1.99</v>
      </c>
      <c r="V120" s="100"/>
      <c r="W120" s="100"/>
      <c r="X120" s="100"/>
    </row>
    <row r="121" spans="1:24">
      <c r="A121" s="89">
        <v>21</v>
      </c>
      <c r="B121" s="100"/>
      <c r="C121" s="100"/>
      <c r="D121" s="100"/>
      <c r="E121" s="100"/>
      <c r="F121" s="91">
        <v>0</v>
      </c>
      <c r="G121" s="100"/>
      <c r="H121" s="100"/>
      <c r="I121" s="100"/>
      <c r="J121" s="100"/>
      <c r="K121" s="89">
        <v>0</v>
      </c>
      <c r="L121" s="100"/>
      <c r="M121" s="100"/>
      <c r="N121" s="100"/>
      <c r="O121" s="100"/>
      <c r="P121" s="89">
        <v>1</v>
      </c>
      <c r="Q121" s="100"/>
      <c r="R121" s="100"/>
      <c r="S121" s="100"/>
      <c r="T121" s="100"/>
      <c r="U121" s="92">
        <v>14.99</v>
      </c>
      <c r="V121" s="100"/>
      <c r="W121" s="100"/>
      <c r="X121" s="100"/>
    </row>
    <row r="122" spans="1:24">
      <c r="A122" s="89">
        <v>21</v>
      </c>
      <c r="B122" s="100"/>
      <c r="C122" s="100"/>
      <c r="D122" s="100"/>
      <c r="E122" s="100"/>
      <c r="F122" s="91">
        <v>5.75</v>
      </c>
      <c r="G122" s="100"/>
      <c r="H122" s="100"/>
      <c r="I122" s="100"/>
      <c r="J122" s="100"/>
      <c r="K122" s="89">
        <v>0</v>
      </c>
      <c r="L122" s="100"/>
      <c r="M122" s="100"/>
      <c r="N122" s="100"/>
      <c r="O122" s="100"/>
      <c r="P122" s="89">
        <v>1</v>
      </c>
      <c r="Q122" s="100"/>
      <c r="R122" s="100"/>
      <c r="S122" s="100"/>
      <c r="T122" s="100"/>
      <c r="U122" s="92">
        <v>30.5</v>
      </c>
      <c r="V122" s="100"/>
      <c r="W122" s="100"/>
      <c r="X122" s="100"/>
    </row>
    <row r="123" spans="1:24">
      <c r="A123" s="89">
        <v>21</v>
      </c>
      <c r="B123" s="100"/>
      <c r="C123" s="100"/>
      <c r="D123" s="100"/>
      <c r="E123" s="100"/>
      <c r="F123" s="91">
        <v>6.75</v>
      </c>
      <c r="G123" s="100"/>
      <c r="H123" s="100"/>
      <c r="I123" s="100"/>
      <c r="J123" s="100"/>
      <c r="K123" s="89">
        <v>0</v>
      </c>
      <c r="L123" s="100"/>
      <c r="M123" s="100"/>
      <c r="N123" s="100"/>
      <c r="O123" s="100"/>
      <c r="P123" s="89">
        <v>1</v>
      </c>
      <c r="Q123" s="100"/>
      <c r="R123" s="100"/>
      <c r="S123" s="100"/>
      <c r="T123" s="100"/>
      <c r="U123" s="92">
        <v>14.99</v>
      </c>
      <c r="V123" s="100"/>
      <c r="W123" s="100"/>
      <c r="X123" s="100"/>
    </row>
    <row r="124" spans="1:24">
      <c r="A124" s="89">
        <v>21</v>
      </c>
      <c r="B124" s="100"/>
      <c r="C124" s="100"/>
      <c r="D124" s="100"/>
      <c r="E124" s="100"/>
      <c r="F124" s="91">
        <v>8.5</v>
      </c>
      <c r="G124" s="100"/>
      <c r="H124" s="100"/>
      <c r="I124" s="100"/>
      <c r="J124" s="100"/>
      <c r="K124" s="89">
        <v>2</v>
      </c>
      <c r="L124" s="100"/>
      <c r="M124" s="100"/>
      <c r="N124" s="100"/>
      <c r="O124" s="100"/>
      <c r="P124" s="89">
        <v>2</v>
      </c>
      <c r="Q124" s="100"/>
      <c r="R124" s="100"/>
      <c r="S124" s="100"/>
      <c r="T124" s="100"/>
      <c r="U124" s="92">
        <v>25.9</v>
      </c>
      <c r="V124" s="100"/>
      <c r="W124" s="100"/>
      <c r="X124" s="100"/>
    </row>
    <row r="125" spans="1:24">
      <c r="A125" s="89">
        <v>21</v>
      </c>
      <c r="B125" s="100"/>
      <c r="C125" s="100"/>
      <c r="D125" s="100"/>
      <c r="E125" s="100"/>
      <c r="F125" s="91">
        <v>24</v>
      </c>
      <c r="G125" s="100"/>
      <c r="H125" s="100"/>
      <c r="I125" s="100"/>
      <c r="J125" s="100"/>
      <c r="K125" s="89">
        <v>0</v>
      </c>
      <c r="L125" s="100"/>
      <c r="M125" s="100"/>
      <c r="N125" s="100"/>
      <c r="O125" s="100"/>
      <c r="P125" s="89">
        <v>1</v>
      </c>
      <c r="Q125" s="100"/>
      <c r="R125" s="100"/>
      <c r="S125" s="100"/>
      <c r="T125" s="100"/>
      <c r="U125" s="92">
        <v>15.6</v>
      </c>
      <c r="V125" s="100"/>
      <c r="W125" s="100"/>
      <c r="X125" s="100"/>
    </row>
    <row r="126" spans="1:24">
      <c r="A126" s="89">
        <v>21</v>
      </c>
      <c r="B126" s="100"/>
      <c r="C126" s="100"/>
      <c r="D126" s="100"/>
      <c r="E126" s="100"/>
      <c r="F126" s="91">
        <v>0</v>
      </c>
      <c r="G126" s="100"/>
      <c r="H126" s="100"/>
      <c r="I126" s="100"/>
      <c r="J126" s="100"/>
      <c r="K126" s="89">
        <v>0</v>
      </c>
      <c r="L126" s="100"/>
      <c r="M126" s="100"/>
      <c r="N126" s="100"/>
      <c r="O126" s="100"/>
      <c r="P126" s="89">
        <v>1</v>
      </c>
      <c r="Q126" s="100"/>
      <c r="R126" s="100"/>
      <c r="S126" s="100"/>
      <c r="T126" s="100"/>
      <c r="U126" s="92">
        <v>50.5</v>
      </c>
      <c r="V126" s="100"/>
      <c r="W126" s="100"/>
      <c r="X126" s="100"/>
    </row>
    <row r="127" spans="1:24">
      <c r="A127" s="89">
        <v>21</v>
      </c>
      <c r="B127" s="100"/>
      <c r="C127" s="100"/>
      <c r="D127" s="100"/>
      <c r="E127" s="100"/>
      <c r="F127" s="91">
        <v>3.75</v>
      </c>
      <c r="G127" s="100"/>
      <c r="H127" s="100"/>
      <c r="I127" s="100"/>
      <c r="J127" s="100"/>
      <c r="K127" s="89">
        <v>1</v>
      </c>
      <c r="L127" s="100"/>
      <c r="M127" s="100"/>
      <c r="N127" s="100"/>
      <c r="O127" s="100"/>
      <c r="P127" s="89">
        <v>2</v>
      </c>
      <c r="Q127" s="100"/>
      <c r="R127" s="100"/>
      <c r="S127" s="100"/>
      <c r="T127" s="100"/>
      <c r="U127" s="92">
        <v>55.9</v>
      </c>
      <c r="V127" s="100"/>
      <c r="W127" s="100"/>
      <c r="X127" s="100"/>
    </row>
    <row r="128" spans="1:24">
      <c r="A128" s="89">
        <v>21</v>
      </c>
      <c r="B128" s="100"/>
      <c r="C128" s="100"/>
      <c r="D128" s="100"/>
      <c r="E128" s="100"/>
      <c r="F128" s="91">
        <v>2.5</v>
      </c>
      <c r="G128" s="100"/>
      <c r="H128" s="100"/>
      <c r="I128" s="100"/>
      <c r="J128" s="100"/>
      <c r="K128" s="89">
        <v>1</v>
      </c>
      <c r="L128" s="100"/>
      <c r="M128" s="100"/>
      <c r="N128" s="100"/>
      <c r="O128" s="100"/>
      <c r="P128" s="89">
        <v>1</v>
      </c>
      <c r="Q128" s="100"/>
      <c r="R128" s="100"/>
      <c r="S128" s="100"/>
      <c r="T128" s="100"/>
      <c r="U128" s="92">
        <v>25</v>
      </c>
      <c r="V128" s="100"/>
      <c r="W128" s="100"/>
      <c r="X128" s="100"/>
    </row>
    <row r="129" spans="1:24">
      <c r="A129" s="89">
        <v>21</v>
      </c>
      <c r="B129" s="100"/>
      <c r="C129" s="100"/>
      <c r="D129" s="100"/>
      <c r="E129" s="100"/>
      <c r="F129" s="91">
        <v>1</v>
      </c>
      <c r="G129" s="100"/>
      <c r="H129" s="100"/>
      <c r="I129" s="100"/>
      <c r="J129" s="100"/>
      <c r="K129" s="89">
        <v>0</v>
      </c>
      <c r="L129" s="100"/>
      <c r="M129" s="100"/>
      <c r="N129" s="100"/>
      <c r="O129" s="100"/>
      <c r="P129" s="89">
        <v>0</v>
      </c>
      <c r="Q129" s="100"/>
      <c r="R129" s="100"/>
      <c r="S129" s="100"/>
      <c r="T129" s="100"/>
      <c r="U129" s="92">
        <v>32.99</v>
      </c>
      <c r="V129" s="100"/>
      <c r="W129" s="100"/>
      <c r="X129" s="100"/>
    </row>
    <row r="130" spans="1:24">
      <c r="A130" s="89">
        <v>21</v>
      </c>
      <c r="B130" s="100"/>
      <c r="C130" s="100"/>
      <c r="D130" s="100"/>
      <c r="E130" s="100"/>
      <c r="F130" s="91">
        <v>0.25</v>
      </c>
      <c r="G130" s="100"/>
      <c r="H130" s="100"/>
      <c r="I130" s="100"/>
      <c r="J130" s="100"/>
      <c r="K130" s="89">
        <v>0</v>
      </c>
      <c r="L130" s="100"/>
      <c r="M130" s="100"/>
      <c r="N130" s="100"/>
      <c r="O130" s="100"/>
      <c r="P130" s="89">
        <v>2</v>
      </c>
      <c r="Q130" s="100"/>
      <c r="R130" s="100"/>
      <c r="S130" s="100"/>
      <c r="T130" s="100"/>
      <c r="U130" s="92">
        <v>0</v>
      </c>
      <c r="V130" s="100"/>
      <c r="W130" s="100"/>
      <c r="X130" s="100"/>
    </row>
    <row r="131" spans="1:24">
      <c r="A131" s="89">
        <v>21</v>
      </c>
      <c r="B131" s="100"/>
      <c r="C131" s="100"/>
      <c r="D131" s="100"/>
      <c r="E131" s="100"/>
      <c r="F131" s="91">
        <v>20</v>
      </c>
      <c r="G131" s="100"/>
      <c r="H131" s="100"/>
      <c r="I131" s="100"/>
      <c r="J131" s="100"/>
      <c r="K131" s="89">
        <v>0</v>
      </c>
      <c r="L131" s="100"/>
      <c r="M131" s="100"/>
      <c r="N131" s="100"/>
      <c r="O131" s="100"/>
      <c r="P131" s="89">
        <v>0</v>
      </c>
      <c r="Q131" s="100"/>
      <c r="R131" s="100"/>
      <c r="S131" s="100"/>
      <c r="T131" s="100"/>
      <c r="U131" s="92">
        <v>13.99</v>
      </c>
      <c r="V131" s="100"/>
      <c r="W131" s="100"/>
      <c r="X131" s="100"/>
    </row>
    <row r="132" spans="1:24">
      <c r="A132" s="89">
        <v>21</v>
      </c>
      <c r="B132" s="100"/>
      <c r="C132" s="100"/>
      <c r="D132" s="100"/>
      <c r="E132" s="100"/>
      <c r="F132" s="91">
        <v>10</v>
      </c>
      <c r="G132" s="100"/>
      <c r="H132" s="100"/>
      <c r="I132" s="100"/>
      <c r="J132" s="100"/>
      <c r="K132" s="89">
        <v>0</v>
      </c>
      <c r="L132" s="100"/>
      <c r="M132" s="100"/>
      <c r="N132" s="100"/>
      <c r="O132" s="100"/>
      <c r="P132" s="89">
        <v>20</v>
      </c>
      <c r="Q132" s="100"/>
      <c r="R132" s="100"/>
      <c r="S132" s="100"/>
      <c r="T132" s="100"/>
      <c r="U132" s="92">
        <v>50</v>
      </c>
      <c r="V132" s="100"/>
      <c r="W132" s="100"/>
      <c r="X132" s="100"/>
    </row>
    <row r="133" spans="1:24">
      <c r="A133" s="89">
        <v>21</v>
      </c>
      <c r="B133" s="100"/>
      <c r="C133" s="100"/>
      <c r="D133" s="100"/>
      <c r="E133" s="100"/>
      <c r="F133" s="91">
        <v>1.5</v>
      </c>
      <c r="G133" s="100"/>
      <c r="H133" s="100"/>
      <c r="I133" s="100"/>
      <c r="J133" s="100"/>
      <c r="K133" s="89">
        <v>0</v>
      </c>
      <c r="L133" s="100"/>
      <c r="M133" s="100"/>
      <c r="N133" s="100"/>
      <c r="O133" s="100"/>
      <c r="P133" s="89">
        <v>2</v>
      </c>
      <c r="Q133" s="100"/>
      <c r="R133" s="100"/>
      <c r="S133" s="100"/>
      <c r="T133" s="100"/>
      <c r="U133" s="92">
        <v>10</v>
      </c>
      <c r="V133" s="100"/>
      <c r="W133" s="100"/>
      <c r="X133" s="100"/>
    </row>
    <row r="134" spans="1:24">
      <c r="A134" s="89">
        <v>21</v>
      </c>
      <c r="B134" s="100"/>
      <c r="C134" s="100"/>
      <c r="D134" s="100"/>
      <c r="E134" s="100"/>
      <c r="F134" s="91">
        <v>0</v>
      </c>
      <c r="G134" s="100"/>
      <c r="H134" s="100"/>
      <c r="I134" s="100"/>
      <c r="J134" s="100"/>
      <c r="K134" s="89">
        <v>0</v>
      </c>
      <c r="L134" s="100"/>
      <c r="M134" s="100"/>
      <c r="N134" s="100"/>
      <c r="O134" s="100"/>
      <c r="P134" s="89">
        <v>2</v>
      </c>
      <c r="Q134" s="100"/>
      <c r="R134" s="100"/>
      <c r="S134" s="100"/>
      <c r="T134" s="100"/>
      <c r="U134" s="92">
        <v>10</v>
      </c>
      <c r="V134" s="100"/>
      <c r="W134" s="100"/>
      <c r="X134" s="100"/>
    </row>
    <row r="135" spans="1:24">
      <c r="A135" s="89">
        <v>21</v>
      </c>
      <c r="B135" s="100"/>
      <c r="C135" s="100"/>
      <c r="D135" s="100"/>
      <c r="E135" s="100"/>
      <c r="F135" s="91">
        <v>1</v>
      </c>
      <c r="G135" s="100"/>
      <c r="H135" s="100"/>
      <c r="I135" s="100"/>
      <c r="J135" s="100"/>
      <c r="K135" s="89">
        <v>0</v>
      </c>
      <c r="L135" s="100"/>
      <c r="M135" s="100"/>
      <c r="N135" s="100"/>
      <c r="O135" s="100"/>
      <c r="P135" s="89">
        <v>2</v>
      </c>
      <c r="Q135" s="100"/>
      <c r="R135" s="100"/>
      <c r="S135" s="100"/>
      <c r="T135" s="100"/>
      <c r="U135" s="92">
        <v>10</v>
      </c>
      <c r="V135" s="100"/>
      <c r="W135" s="100"/>
      <c r="X135" s="100"/>
    </row>
    <row r="136" spans="1:24">
      <c r="A136" s="89">
        <v>21</v>
      </c>
      <c r="B136" s="100"/>
      <c r="C136" s="100"/>
      <c r="D136" s="100"/>
      <c r="E136" s="100"/>
      <c r="F136" s="91">
        <v>0</v>
      </c>
      <c r="G136" s="100"/>
      <c r="H136" s="100"/>
      <c r="I136" s="100"/>
      <c r="J136" s="100"/>
      <c r="K136" s="89">
        <v>0</v>
      </c>
      <c r="L136" s="100"/>
      <c r="M136" s="100"/>
      <c r="N136" s="100"/>
      <c r="O136" s="100"/>
      <c r="P136" s="89">
        <v>1</v>
      </c>
      <c r="Q136" s="100"/>
      <c r="R136" s="100"/>
      <c r="S136" s="100"/>
      <c r="T136" s="100"/>
      <c r="U136" s="92">
        <v>0</v>
      </c>
      <c r="V136" s="100"/>
      <c r="W136" s="100"/>
      <c r="X136" s="100"/>
    </row>
    <row r="137" spans="1:24">
      <c r="A137" s="89">
        <v>21</v>
      </c>
      <c r="B137" s="100"/>
      <c r="C137" s="100"/>
      <c r="D137" s="100"/>
      <c r="E137" s="100"/>
      <c r="F137" s="91">
        <v>0</v>
      </c>
      <c r="G137" s="100"/>
      <c r="H137" s="100"/>
      <c r="I137" s="100"/>
      <c r="J137" s="100"/>
      <c r="K137" s="89">
        <v>0</v>
      </c>
      <c r="L137" s="100"/>
      <c r="M137" s="100"/>
      <c r="N137" s="100"/>
      <c r="O137" s="100"/>
      <c r="P137" s="89">
        <v>0</v>
      </c>
      <c r="Q137" s="100"/>
      <c r="R137" s="100"/>
      <c r="S137" s="100"/>
      <c r="T137" s="100"/>
      <c r="U137" s="92">
        <v>0</v>
      </c>
      <c r="V137" s="100"/>
      <c r="W137" s="100"/>
      <c r="X137" s="100"/>
    </row>
    <row r="138" spans="1:24">
      <c r="A138" s="89">
        <v>21</v>
      </c>
      <c r="B138" s="100"/>
      <c r="C138" s="100"/>
      <c r="D138" s="100"/>
      <c r="E138" s="100"/>
      <c r="F138" s="91">
        <v>1.5</v>
      </c>
      <c r="G138" s="100"/>
      <c r="H138" s="100"/>
      <c r="I138" s="100"/>
      <c r="J138" s="100"/>
      <c r="K138" s="89">
        <v>0</v>
      </c>
      <c r="L138" s="100"/>
      <c r="M138" s="100"/>
      <c r="N138" s="100"/>
      <c r="O138" s="100"/>
      <c r="P138" s="89">
        <v>2</v>
      </c>
      <c r="Q138" s="100"/>
      <c r="R138" s="100"/>
      <c r="S138" s="100"/>
      <c r="T138" s="100"/>
      <c r="U138" s="92">
        <v>10</v>
      </c>
      <c r="V138" s="100"/>
      <c r="W138" s="100"/>
      <c r="X138" s="100"/>
    </row>
    <row r="139" spans="1:24">
      <c r="A139" s="89">
        <v>21</v>
      </c>
      <c r="B139" s="100"/>
      <c r="C139" s="100"/>
      <c r="D139" s="100"/>
      <c r="E139" s="100"/>
      <c r="F139" s="91">
        <v>1</v>
      </c>
      <c r="G139" s="100"/>
      <c r="H139" s="100"/>
      <c r="I139" s="100"/>
      <c r="J139" s="100"/>
      <c r="K139" s="89">
        <v>0</v>
      </c>
      <c r="L139" s="100"/>
      <c r="M139" s="100"/>
      <c r="N139" s="100"/>
      <c r="O139" s="100"/>
      <c r="P139" s="89">
        <v>1</v>
      </c>
      <c r="Q139" s="100"/>
      <c r="R139" s="100"/>
      <c r="S139" s="100"/>
      <c r="T139" s="100"/>
      <c r="U139" s="92">
        <v>5</v>
      </c>
      <c r="V139" s="100"/>
      <c r="W139" s="100"/>
      <c r="X139" s="100"/>
    </row>
    <row r="140" spans="1:24">
      <c r="A140" s="89">
        <v>21</v>
      </c>
      <c r="B140" s="100"/>
      <c r="C140" s="100"/>
      <c r="D140" s="100"/>
      <c r="E140" s="100"/>
      <c r="F140" s="91">
        <v>1.5</v>
      </c>
      <c r="G140" s="100"/>
      <c r="H140" s="100"/>
      <c r="I140" s="100"/>
      <c r="J140" s="100"/>
      <c r="K140" s="89">
        <v>0</v>
      </c>
      <c r="L140" s="100"/>
      <c r="M140" s="100"/>
      <c r="N140" s="100"/>
      <c r="O140" s="100"/>
      <c r="P140" s="89">
        <v>1</v>
      </c>
      <c r="Q140" s="100"/>
      <c r="R140" s="100"/>
      <c r="S140" s="100"/>
      <c r="T140" s="100"/>
      <c r="U140" s="92">
        <v>10</v>
      </c>
      <c r="V140" s="100"/>
      <c r="W140" s="100"/>
      <c r="X140" s="100"/>
    </row>
    <row r="141" spans="1:24">
      <c r="A141" s="89">
        <v>21</v>
      </c>
      <c r="B141" s="100"/>
      <c r="C141" s="100"/>
      <c r="D141" s="100"/>
      <c r="E141" s="100"/>
      <c r="F141" s="91">
        <v>1</v>
      </c>
      <c r="G141" s="100"/>
      <c r="H141" s="100"/>
      <c r="I141" s="100"/>
      <c r="J141" s="100"/>
      <c r="K141" s="89">
        <v>0</v>
      </c>
      <c r="L141" s="100"/>
      <c r="M141" s="100"/>
      <c r="N141" s="100"/>
      <c r="O141" s="100"/>
      <c r="P141" s="89">
        <v>1</v>
      </c>
      <c r="Q141" s="100"/>
      <c r="R141" s="100"/>
      <c r="S141" s="100"/>
      <c r="T141" s="100"/>
      <c r="U141" s="92">
        <v>5</v>
      </c>
      <c r="V141" s="100"/>
      <c r="W141" s="100"/>
      <c r="X141" s="100"/>
    </row>
    <row r="142" spans="1:24">
      <c r="A142" s="89">
        <v>21</v>
      </c>
      <c r="B142" s="100"/>
      <c r="C142" s="100"/>
      <c r="D142" s="100"/>
      <c r="E142" s="100"/>
      <c r="F142" s="91">
        <v>1</v>
      </c>
      <c r="G142" s="100"/>
      <c r="H142" s="100"/>
      <c r="I142" s="100"/>
      <c r="J142" s="100"/>
      <c r="K142" s="89">
        <v>0</v>
      </c>
      <c r="L142" s="100"/>
      <c r="M142" s="100"/>
      <c r="N142" s="100"/>
      <c r="O142" s="100"/>
      <c r="P142" s="89">
        <v>2</v>
      </c>
      <c r="Q142" s="100"/>
      <c r="R142" s="100"/>
      <c r="S142" s="100"/>
      <c r="T142" s="100"/>
      <c r="U142" s="92">
        <v>10</v>
      </c>
      <c r="V142" s="100"/>
      <c r="W142" s="100"/>
      <c r="X142" s="100"/>
    </row>
    <row r="143" spans="1:24">
      <c r="A143" s="89">
        <v>21</v>
      </c>
      <c r="B143" s="100"/>
      <c r="C143" s="100"/>
      <c r="D143" s="100"/>
      <c r="E143" s="100"/>
      <c r="F143" s="91">
        <v>2</v>
      </c>
      <c r="G143" s="100"/>
      <c r="H143" s="100"/>
      <c r="I143" s="100"/>
      <c r="J143" s="100"/>
      <c r="K143" s="89">
        <v>1</v>
      </c>
      <c r="L143" s="100"/>
      <c r="M143" s="100"/>
      <c r="N143" s="100"/>
      <c r="O143" s="100"/>
      <c r="P143" s="89">
        <v>2</v>
      </c>
      <c r="Q143" s="100"/>
      <c r="R143" s="100"/>
      <c r="S143" s="100"/>
      <c r="T143" s="100"/>
      <c r="U143" s="92">
        <v>10</v>
      </c>
      <c r="V143" s="100"/>
      <c r="W143" s="100"/>
      <c r="X143" s="100"/>
    </row>
    <row r="144" spans="1:24">
      <c r="A144" s="89">
        <v>21</v>
      </c>
      <c r="B144" s="100"/>
      <c r="C144" s="100"/>
      <c r="D144" s="100"/>
      <c r="E144" s="100"/>
      <c r="F144" s="91">
        <v>2</v>
      </c>
      <c r="G144" s="100"/>
      <c r="H144" s="100"/>
      <c r="I144" s="100"/>
      <c r="J144" s="100"/>
      <c r="K144" s="89">
        <v>0</v>
      </c>
      <c r="L144" s="100"/>
      <c r="M144" s="100"/>
      <c r="N144" s="100"/>
      <c r="O144" s="100"/>
      <c r="P144" s="89">
        <v>1</v>
      </c>
      <c r="Q144" s="100"/>
      <c r="R144" s="100"/>
      <c r="S144" s="100"/>
      <c r="T144" s="100"/>
      <c r="U144" s="92">
        <v>10</v>
      </c>
      <c r="V144" s="100"/>
      <c r="W144" s="100"/>
      <c r="X144" s="100"/>
    </row>
    <row r="145" spans="1:24">
      <c r="A145" s="89">
        <v>21</v>
      </c>
      <c r="B145" s="100"/>
      <c r="C145" s="100"/>
      <c r="D145" s="100"/>
      <c r="E145" s="100"/>
      <c r="F145" s="91">
        <v>0</v>
      </c>
      <c r="G145" s="100"/>
      <c r="H145" s="100"/>
      <c r="I145" s="100"/>
      <c r="J145" s="100"/>
      <c r="K145" s="89">
        <v>0</v>
      </c>
      <c r="L145" s="100"/>
      <c r="M145" s="100"/>
      <c r="N145" s="100"/>
      <c r="O145" s="100"/>
      <c r="P145" s="89">
        <v>3</v>
      </c>
      <c r="Q145" s="100"/>
      <c r="R145" s="100"/>
      <c r="S145" s="100"/>
      <c r="T145" s="100"/>
      <c r="U145" s="92">
        <v>0</v>
      </c>
      <c r="V145" s="100"/>
      <c r="W145" s="100"/>
      <c r="X145" s="100"/>
    </row>
    <row r="146" spans="1:24">
      <c r="A146" s="89">
        <v>21</v>
      </c>
      <c r="B146" s="100"/>
      <c r="C146" s="100"/>
      <c r="D146" s="100"/>
      <c r="E146" s="100"/>
      <c r="F146" s="91">
        <v>0</v>
      </c>
      <c r="G146" s="100"/>
      <c r="H146" s="100"/>
      <c r="I146" s="100"/>
      <c r="J146" s="100"/>
      <c r="K146" s="89">
        <v>0</v>
      </c>
      <c r="L146" s="100"/>
      <c r="M146" s="100"/>
      <c r="N146" s="100"/>
      <c r="O146" s="100"/>
      <c r="P146" s="89">
        <v>0</v>
      </c>
      <c r="Q146" s="100"/>
      <c r="R146" s="100"/>
      <c r="S146" s="100"/>
      <c r="T146" s="100"/>
      <c r="U146" s="92">
        <v>0</v>
      </c>
      <c r="V146" s="100"/>
      <c r="W146" s="100"/>
      <c r="X146" s="100"/>
    </row>
    <row r="147" spans="1:24">
      <c r="A147" s="89">
        <v>21</v>
      </c>
      <c r="B147" s="100"/>
      <c r="C147" s="100"/>
      <c r="D147" s="100"/>
      <c r="E147" s="100"/>
      <c r="F147" s="91">
        <v>3</v>
      </c>
      <c r="G147" s="100"/>
      <c r="H147" s="100"/>
      <c r="I147" s="100"/>
      <c r="J147" s="100"/>
      <c r="K147" s="89">
        <v>1</v>
      </c>
      <c r="L147" s="100"/>
      <c r="M147" s="100"/>
      <c r="N147" s="100"/>
      <c r="O147" s="100"/>
      <c r="P147" s="89">
        <v>3</v>
      </c>
      <c r="Q147" s="100"/>
      <c r="R147" s="100"/>
      <c r="S147" s="100"/>
      <c r="T147" s="100"/>
      <c r="U147" s="92">
        <v>150</v>
      </c>
      <c r="V147" s="100"/>
      <c r="W147" s="100"/>
      <c r="X147" s="100"/>
    </row>
    <row r="148" spans="1:24">
      <c r="A148" s="89">
        <v>21</v>
      </c>
      <c r="B148" s="100"/>
      <c r="C148" s="100"/>
      <c r="D148" s="100"/>
      <c r="E148" s="100"/>
      <c r="F148" s="91">
        <v>1.3</v>
      </c>
      <c r="G148" s="100"/>
      <c r="H148" s="100"/>
      <c r="I148" s="100"/>
      <c r="J148" s="100"/>
      <c r="K148" s="89">
        <v>0</v>
      </c>
      <c r="L148" s="100"/>
      <c r="M148" s="100"/>
      <c r="N148" s="100"/>
      <c r="O148" s="100"/>
      <c r="P148" s="89">
        <v>2</v>
      </c>
      <c r="Q148" s="100"/>
      <c r="R148" s="100"/>
      <c r="S148" s="100"/>
      <c r="T148" s="100"/>
      <c r="U148" s="92">
        <v>0</v>
      </c>
      <c r="V148" s="100"/>
      <c r="W148" s="100"/>
      <c r="X148" s="100"/>
    </row>
    <row r="149" spans="1:24">
      <c r="A149" s="89">
        <v>21</v>
      </c>
      <c r="B149" s="100"/>
      <c r="C149" s="100"/>
      <c r="D149" s="100"/>
      <c r="E149" s="100"/>
      <c r="F149" s="91">
        <v>4</v>
      </c>
      <c r="G149" s="100"/>
      <c r="H149" s="100"/>
      <c r="I149" s="100"/>
      <c r="J149" s="100"/>
      <c r="K149" s="89">
        <v>2</v>
      </c>
      <c r="L149" s="100"/>
      <c r="M149" s="100"/>
      <c r="N149" s="100"/>
      <c r="O149" s="100"/>
      <c r="P149" s="89">
        <v>3</v>
      </c>
      <c r="Q149" s="100"/>
      <c r="R149" s="100"/>
      <c r="S149" s="100"/>
      <c r="T149" s="100"/>
      <c r="U149" s="92">
        <v>0</v>
      </c>
      <c r="V149" s="100"/>
      <c r="W149" s="100"/>
      <c r="X149" s="100"/>
    </row>
    <row r="150" spans="1:24">
      <c r="A150" s="89">
        <v>21</v>
      </c>
      <c r="B150" s="100"/>
      <c r="C150" s="100"/>
      <c r="D150" s="100"/>
      <c r="E150" s="100"/>
      <c r="F150" s="91">
        <v>2</v>
      </c>
      <c r="G150" s="100"/>
      <c r="H150" s="100"/>
      <c r="I150" s="100"/>
      <c r="J150" s="100"/>
      <c r="K150" s="89">
        <v>0</v>
      </c>
      <c r="L150" s="100"/>
      <c r="M150" s="100"/>
      <c r="N150" s="100"/>
      <c r="O150" s="100"/>
      <c r="P150" s="89">
        <v>2</v>
      </c>
      <c r="Q150" s="100"/>
      <c r="R150" s="100"/>
      <c r="S150" s="100"/>
      <c r="T150" s="100"/>
      <c r="U150" s="92">
        <v>50</v>
      </c>
      <c r="V150" s="100"/>
      <c r="W150" s="100"/>
      <c r="X150" s="100"/>
    </row>
    <row r="151" spans="1:24">
      <c r="A151" s="89">
        <v>21</v>
      </c>
      <c r="B151" s="100"/>
      <c r="C151" s="100"/>
      <c r="D151" s="100"/>
      <c r="E151" s="100"/>
      <c r="F151" s="91">
        <v>0</v>
      </c>
      <c r="G151" s="100"/>
      <c r="H151" s="100"/>
      <c r="I151" s="100"/>
      <c r="J151" s="100"/>
      <c r="K151" s="89">
        <v>0</v>
      </c>
      <c r="L151" s="100"/>
      <c r="M151" s="100"/>
      <c r="N151" s="100"/>
      <c r="O151" s="100"/>
      <c r="P151" s="89">
        <v>0</v>
      </c>
      <c r="Q151" s="100"/>
      <c r="R151" s="100"/>
      <c r="S151" s="100"/>
      <c r="T151" s="100"/>
      <c r="U151" s="92">
        <v>0</v>
      </c>
      <c r="V151" s="100"/>
      <c r="W151" s="100"/>
      <c r="X151" s="100"/>
    </row>
    <row r="152" spans="1:24">
      <c r="A152" s="89">
        <v>21</v>
      </c>
      <c r="B152" s="100"/>
      <c r="C152" s="100"/>
      <c r="D152" s="100"/>
      <c r="E152" s="100"/>
      <c r="F152" s="91">
        <v>10</v>
      </c>
      <c r="G152" s="100"/>
      <c r="H152" s="100"/>
      <c r="I152" s="100"/>
      <c r="J152" s="100"/>
      <c r="K152" s="89">
        <v>0</v>
      </c>
      <c r="L152" s="100"/>
      <c r="M152" s="100"/>
      <c r="N152" s="100"/>
      <c r="O152" s="100"/>
      <c r="P152" s="89">
        <v>2</v>
      </c>
      <c r="Q152" s="100"/>
      <c r="R152" s="100"/>
      <c r="S152" s="100"/>
      <c r="T152" s="100"/>
      <c r="U152" s="92">
        <v>0</v>
      </c>
      <c r="V152" s="100"/>
      <c r="W152" s="100"/>
      <c r="X152" s="100"/>
    </row>
    <row r="153" spans="1:24">
      <c r="A153" s="89">
        <v>21</v>
      </c>
      <c r="B153" s="100"/>
      <c r="C153" s="100"/>
      <c r="D153" s="100"/>
      <c r="E153" s="100"/>
      <c r="F153" s="91">
        <v>0</v>
      </c>
      <c r="G153" s="100"/>
      <c r="H153" s="100"/>
      <c r="I153" s="100"/>
      <c r="J153" s="100"/>
      <c r="K153" s="89">
        <v>0</v>
      </c>
      <c r="L153" s="100"/>
      <c r="M153" s="100"/>
      <c r="N153" s="100"/>
      <c r="O153" s="100"/>
      <c r="P153" s="89">
        <v>0</v>
      </c>
      <c r="Q153" s="100"/>
      <c r="R153" s="100"/>
      <c r="S153" s="100"/>
      <c r="T153" s="100"/>
      <c r="U153" s="92">
        <v>0</v>
      </c>
      <c r="V153" s="100"/>
      <c r="W153" s="100"/>
      <c r="X153" s="100"/>
    </row>
    <row r="154" spans="1:24">
      <c r="A154" s="89">
        <v>21</v>
      </c>
      <c r="B154" s="100"/>
      <c r="C154" s="100"/>
      <c r="D154" s="100"/>
      <c r="E154" s="100"/>
      <c r="F154" s="91">
        <v>0</v>
      </c>
      <c r="G154" s="100"/>
      <c r="H154" s="100"/>
      <c r="I154" s="100"/>
      <c r="J154" s="100"/>
      <c r="K154" s="89">
        <v>0</v>
      </c>
      <c r="L154" s="100"/>
      <c r="M154" s="100"/>
      <c r="N154" s="100"/>
      <c r="O154" s="100"/>
      <c r="P154" s="89">
        <v>0</v>
      </c>
      <c r="Q154" s="100"/>
      <c r="R154" s="100"/>
      <c r="S154" s="100"/>
      <c r="T154" s="100"/>
      <c r="U154" s="92">
        <v>0</v>
      </c>
      <c r="V154" s="100"/>
      <c r="W154" s="100"/>
      <c r="X154" s="100"/>
    </row>
    <row r="155" spans="1:24">
      <c r="A155" s="89">
        <v>21</v>
      </c>
      <c r="B155" s="100"/>
      <c r="C155" s="100"/>
      <c r="D155" s="100"/>
      <c r="E155" s="100"/>
      <c r="F155" s="91">
        <v>2</v>
      </c>
      <c r="G155" s="100"/>
      <c r="H155" s="100"/>
      <c r="I155" s="100"/>
      <c r="J155" s="100"/>
      <c r="K155" s="89">
        <v>0</v>
      </c>
      <c r="L155" s="100"/>
      <c r="M155" s="100"/>
      <c r="N155" s="100"/>
      <c r="O155" s="100"/>
      <c r="P155" s="89">
        <v>4</v>
      </c>
      <c r="Q155" s="100"/>
      <c r="R155" s="100"/>
      <c r="S155" s="100"/>
      <c r="T155" s="100"/>
      <c r="U155" s="92">
        <v>0</v>
      </c>
      <c r="V155" s="100"/>
      <c r="W155" s="100"/>
      <c r="X155" s="100"/>
    </row>
    <row r="156" spans="1:24">
      <c r="A156" s="89">
        <v>21</v>
      </c>
      <c r="B156" s="100"/>
      <c r="C156" s="100"/>
      <c r="D156" s="100"/>
      <c r="E156" s="100"/>
      <c r="F156" s="91">
        <v>2</v>
      </c>
      <c r="G156" s="100"/>
      <c r="H156" s="100"/>
      <c r="I156" s="100"/>
      <c r="J156" s="100"/>
      <c r="K156" s="89">
        <v>0</v>
      </c>
      <c r="L156" s="100"/>
      <c r="M156" s="100"/>
      <c r="N156" s="100"/>
      <c r="O156" s="100"/>
      <c r="P156" s="89">
        <v>4</v>
      </c>
      <c r="Q156" s="100"/>
      <c r="R156" s="100"/>
      <c r="S156" s="100"/>
      <c r="T156" s="100"/>
      <c r="U156" s="92">
        <v>0</v>
      </c>
      <c r="V156" s="100"/>
      <c r="W156" s="100"/>
      <c r="X156" s="100"/>
    </row>
    <row r="157" spans="1:24">
      <c r="A157" s="89">
        <v>21</v>
      </c>
      <c r="B157" s="100"/>
      <c r="C157" s="100"/>
      <c r="D157" s="100"/>
      <c r="E157" s="100"/>
      <c r="F157" s="91">
        <v>2</v>
      </c>
      <c r="G157" s="100"/>
      <c r="H157" s="100"/>
      <c r="I157" s="100"/>
      <c r="J157" s="100"/>
      <c r="K157" s="89">
        <v>0</v>
      </c>
      <c r="L157" s="100"/>
      <c r="M157" s="100"/>
      <c r="N157" s="100"/>
      <c r="O157" s="100"/>
      <c r="P157" s="89">
        <v>4</v>
      </c>
      <c r="Q157" s="100"/>
      <c r="R157" s="100"/>
      <c r="S157" s="100"/>
      <c r="T157" s="100"/>
      <c r="U157" s="92">
        <v>0</v>
      </c>
      <c r="V157" s="100"/>
      <c r="W157" s="100"/>
      <c r="X157" s="100"/>
    </row>
    <row r="158" spans="1:24">
      <c r="A158" s="89">
        <v>21</v>
      </c>
      <c r="B158" s="100"/>
      <c r="C158" s="100"/>
      <c r="D158" s="100"/>
      <c r="E158" s="100"/>
      <c r="F158" s="91">
        <v>0</v>
      </c>
      <c r="G158" s="100"/>
      <c r="H158" s="100"/>
      <c r="I158" s="100"/>
      <c r="J158" s="100"/>
      <c r="K158" s="89">
        <v>0</v>
      </c>
      <c r="L158" s="100"/>
      <c r="M158" s="100"/>
      <c r="N158" s="100"/>
      <c r="O158" s="100"/>
      <c r="P158" s="89">
        <v>4</v>
      </c>
      <c r="Q158" s="100"/>
      <c r="R158" s="100"/>
      <c r="S158" s="100"/>
      <c r="T158" s="100"/>
      <c r="U158" s="92">
        <v>0</v>
      </c>
      <c r="V158" s="100"/>
      <c r="W158" s="100"/>
      <c r="X158" s="100"/>
    </row>
    <row r="159" spans="1:24">
      <c r="A159" s="89">
        <v>21</v>
      </c>
      <c r="B159" s="100"/>
      <c r="C159" s="100"/>
      <c r="D159" s="100"/>
      <c r="E159" s="100"/>
      <c r="F159" s="91">
        <v>0</v>
      </c>
      <c r="G159" s="100"/>
      <c r="H159" s="100"/>
      <c r="I159" s="100"/>
      <c r="J159" s="100"/>
      <c r="K159" s="89">
        <v>0</v>
      </c>
      <c r="L159" s="100"/>
      <c r="M159" s="100"/>
      <c r="N159" s="100"/>
      <c r="O159" s="100"/>
      <c r="P159" s="89">
        <v>4</v>
      </c>
      <c r="Q159" s="100"/>
      <c r="R159" s="100"/>
      <c r="S159" s="100"/>
      <c r="T159" s="100"/>
      <c r="U159" s="92">
        <v>0</v>
      </c>
      <c r="V159" s="100"/>
      <c r="W159" s="100"/>
      <c r="X159" s="100"/>
    </row>
    <row r="160" spans="1:24">
      <c r="A160" s="89">
        <v>21</v>
      </c>
      <c r="B160" s="100"/>
      <c r="C160" s="100"/>
      <c r="D160" s="100"/>
      <c r="E160" s="100"/>
      <c r="F160" s="91">
        <v>0</v>
      </c>
      <c r="G160" s="100"/>
      <c r="H160" s="100"/>
      <c r="I160" s="100"/>
      <c r="J160" s="100"/>
      <c r="K160" s="89">
        <v>0</v>
      </c>
      <c r="L160" s="100"/>
      <c r="M160" s="100"/>
      <c r="N160" s="100"/>
      <c r="O160" s="100"/>
      <c r="P160" s="89">
        <v>7</v>
      </c>
      <c r="Q160" s="100"/>
      <c r="R160" s="100"/>
      <c r="S160" s="100"/>
      <c r="T160" s="100"/>
      <c r="U160" s="92">
        <v>50</v>
      </c>
      <c r="V160" s="100"/>
      <c r="W160" s="100"/>
      <c r="X160" s="100"/>
    </row>
    <row r="161" spans="1:24">
      <c r="A161" s="89">
        <v>21</v>
      </c>
      <c r="B161" s="100"/>
      <c r="C161" s="100"/>
      <c r="D161" s="100"/>
      <c r="E161" s="100"/>
      <c r="F161" s="91">
        <v>6</v>
      </c>
      <c r="G161" s="100"/>
      <c r="H161" s="100"/>
      <c r="I161" s="100"/>
      <c r="J161" s="100"/>
      <c r="K161" s="89">
        <v>1</v>
      </c>
      <c r="L161" s="100"/>
      <c r="M161" s="100"/>
      <c r="N161" s="100"/>
      <c r="O161" s="100"/>
      <c r="P161" s="89">
        <v>3</v>
      </c>
      <c r="Q161" s="100"/>
      <c r="R161" s="100"/>
      <c r="S161" s="100"/>
      <c r="T161" s="100"/>
      <c r="U161" s="92">
        <v>0</v>
      </c>
      <c r="V161" s="100"/>
      <c r="W161" s="100"/>
      <c r="X161" s="100"/>
    </row>
    <row r="162" spans="1:24">
      <c r="A162" s="89">
        <v>21</v>
      </c>
      <c r="B162" s="100"/>
      <c r="C162" s="100"/>
      <c r="D162" s="100"/>
      <c r="E162" s="100"/>
      <c r="F162" s="91">
        <v>3</v>
      </c>
      <c r="G162" s="100"/>
      <c r="H162" s="100"/>
      <c r="I162" s="100"/>
      <c r="J162" s="100"/>
      <c r="K162" s="89">
        <v>0</v>
      </c>
      <c r="L162" s="100"/>
      <c r="M162" s="100"/>
      <c r="N162" s="100"/>
      <c r="O162" s="100"/>
      <c r="P162" s="89">
        <v>0</v>
      </c>
      <c r="Q162" s="100"/>
      <c r="R162" s="100"/>
      <c r="S162" s="100"/>
      <c r="T162" s="100"/>
      <c r="U162" s="92">
        <v>8.99</v>
      </c>
      <c r="V162" s="100"/>
      <c r="W162" s="100"/>
      <c r="X162" s="100"/>
    </row>
    <row r="163" spans="1:24">
      <c r="A163" s="89">
        <v>21</v>
      </c>
      <c r="B163" s="100"/>
      <c r="C163" s="100"/>
      <c r="D163" s="100"/>
      <c r="E163" s="100"/>
      <c r="F163" s="91">
        <v>43</v>
      </c>
      <c r="G163" s="100"/>
      <c r="H163" s="100"/>
      <c r="I163" s="100"/>
      <c r="J163" s="100"/>
      <c r="K163" s="89">
        <v>3</v>
      </c>
      <c r="L163" s="100"/>
      <c r="M163" s="100"/>
      <c r="N163" s="100"/>
      <c r="O163" s="100"/>
      <c r="P163" s="89">
        <v>5</v>
      </c>
      <c r="Q163" s="100"/>
      <c r="R163" s="100"/>
      <c r="S163" s="100"/>
      <c r="T163" s="100"/>
      <c r="U163" s="92">
        <v>49.99</v>
      </c>
      <c r="V163" s="100"/>
      <c r="W163" s="100"/>
      <c r="X163" s="100"/>
    </row>
    <row r="164" spans="1:24">
      <c r="A164" s="89">
        <v>21</v>
      </c>
      <c r="B164" s="100"/>
      <c r="C164" s="100"/>
      <c r="D164" s="100"/>
      <c r="E164" s="100"/>
      <c r="F164" s="91">
        <v>4</v>
      </c>
      <c r="G164" s="100"/>
      <c r="H164" s="100"/>
      <c r="I164" s="100"/>
      <c r="J164" s="100"/>
      <c r="K164" s="89">
        <v>1</v>
      </c>
      <c r="L164" s="100"/>
      <c r="M164" s="100"/>
      <c r="N164" s="100"/>
      <c r="O164" s="100"/>
      <c r="P164" s="89">
        <v>3</v>
      </c>
      <c r="Q164" s="100"/>
      <c r="R164" s="100"/>
      <c r="S164" s="100"/>
      <c r="T164" s="100"/>
      <c r="U164" s="92">
        <v>9.5</v>
      </c>
      <c r="V164" s="100"/>
      <c r="W164" s="100"/>
      <c r="X164" s="100"/>
    </row>
    <row r="165" spans="1:24">
      <c r="A165" s="89">
        <v>21</v>
      </c>
      <c r="B165" s="100"/>
      <c r="C165" s="100"/>
      <c r="D165" s="100"/>
      <c r="E165" s="100"/>
      <c r="F165" s="91">
        <v>0</v>
      </c>
      <c r="G165" s="100"/>
      <c r="H165" s="100"/>
      <c r="I165" s="100"/>
      <c r="J165" s="100"/>
      <c r="K165" s="89">
        <v>0</v>
      </c>
      <c r="L165" s="100"/>
      <c r="M165" s="100"/>
      <c r="N165" s="100"/>
      <c r="O165" s="100"/>
      <c r="P165" s="89">
        <v>6</v>
      </c>
      <c r="Q165" s="100"/>
      <c r="R165" s="100"/>
      <c r="S165" s="100"/>
      <c r="T165" s="100"/>
      <c r="U165" s="92">
        <v>0</v>
      </c>
      <c r="V165" s="100"/>
      <c r="W165" s="100"/>
      <c r="X165" s="100"/>
    </row>
    <row r="166" spans="1:24">
      <c r="A166" s="89">
        <v>21</v>
      </c>
      <c r="B166" s="100"/>
      <c r="C166" s="100"/>
      <c r="D166" s="100"/>
      <c r="E166" s="100"/>
      <c r="F166" s="91">
        <v>18</v>
      </c>
      <c r="G166" s="100"/>
      <c r="H166" s="100"/>
      <c r="I166" s="100"/>
      <c r="J166" s="100"/>
      <c r="K166" s="89">
        <v>3</v>
      </c>
      <c r="L166" s="100"/>
      <c r="M166" s="100"/>
      <c r="N166" s="100"/>
      <c r="O166" s="100"/>
      <c r="P166" s="89">
        <v>5</v>
      </c>
      <c r="Q166" s="100"/>
      <c r="R166" s="100"/>
      <c r="S166" s="100"/>
      <c r="T166" s="100"/>
      <c r="U166" s="92">
        <v>25</v>
      </c>
      <c r="V166" s="100"/>
      <c r="W166" s="100"/>
      <c r="X166" s="100"/>
    </row>
    <row r="167" spans="1:24">
      <c r="A167" s="89">
        <v>21</v>
      </c>
      <c r="B167" s="100"/>
      <c r="C167" s="100"/>
      <c r="D167" s="100"/>
      <c r="E167" s="100"/>
      <c r="F167" s="91">
        <v>5.5</v>
      </c>
      <c r="G167" s="100"/>
      <c r="H167" s="100"/>
      <c r="I167" s="100"/>
      <c r="J167" s="100"/>
      <c r="K167" s="89">
        <v>3</v>
      </c>
      <c r="L167" s="100"/>
      <c r="M167" s="100"/>
      <c r="N167" s="100"/>
      <c r="O167" s="100"/>
      <c r="P167" s="89">
        <v>3</v>
      </c>
      <c r="Q167" s="100"/>
      <c r="R167" s="100"/>
      <c r="S167" s="100"/>
      <c r="T167" s="100"/>
      <c r="U167" s="92">
        <v>10</v>
      </c>
      <c r="V167" s="100"/>
      <c r="W167" s="100"/>
      <c r="X167" s="100"/>
    </row>
    <row r="168" spans="1:24">
      <c r="A168" s="89">
        <v>22</v>
      </c>
      <c r="B168" s="100"/>
      <c r="C168" s="100"/>
      <c r="D168" s="100"/>
      <c r="E168" s="100"/>
      <c r="F168" s="91">
        <v>0</v>
      </c>
      <c r="G168" s="100"/>
      <c r="H168" s="100"/>
      <c r="I168" s="100"/>
      <c r="J168" s="100"/>
      <c r="K168" s="89">
        <v>0</v>
      </c>
      <c r="L168" s="100"/>
      <c r="M168" s="100"/>
      <c r="N168" s="100"/>
      <c r="O168" s="100"/>
      <c r="P168" s="89">
        <v>3</v>
      </c>
      <c r="Q168" s="100"/>
      <c r="R168" s="100"/>
      <c r="S168" s="100"/>
      <c r="T168" s="100"/>
      <c r="U168" s="92">
        <v>30</v>
      </c>
      <c r="V168" s="100"/>
      <c r="W168" s="100"/>
      <c r="X168" s="100"/>
    </row>
    <row r="169" spans="1:24">
      <c r="A169" s="89">
        <v>22</v>
      </c>
      <c r="B169" s="100"/>
      <c r="C169" s="100"/>
      <c r="D169" s="100"/>
      <c r="E169" s="100"/>
      <c r="F169" s="91">
        <v>1.5</v>
      </c>
      <c r="G169" s="100"/>
      <c r="H169" s="100"/>
      <c r="I169" s="100"/>
      <c r="J169" s="100"/>
      <c r="K169" s="89">
        <v>1</v>
      </c>
      <c r="L169" s="100"/>
      <c r="M169" s="100"/>
      <c r="N169" s="100"/>
      <c r="O169" s="100"/>
      <c r="P169" s="89">
        <v>3</v>
      </c>
      <c r="Q169" s="100"/>
      <c r="R169" s="100"/>
      <c r="S169" s="100"/>
      <c r="T169" s="100"/>
      <c r="U169" s="92">
        <v>45</v>
      </c>
      <c r="V169" s="100"/>
      <c r="W169" s="100"/>
      <c r="X169" s="100"/>
    </row>
    <row r="170" spans="1:24">
      <c r="A170" s="89">
        <v>22</v>
      </c>
      <c r="B170" s="100"/>
      <c r="C170" s="100"/>
      <c r="D170" s="100"/>
      <c r="E170" s="100"/>
      <c r="F170" s="91">
        <v>2</v>
      </c>
      <c r="G170" s="100"/>
      <c r="H170" s="100"/>
      <c r="I170" s="100"/>
      <c r="J170" s="100"/>
      <c r="K170" s="89">
        <v>0</v>
      </c>
      <c r="L170" s="100"/>
      <c r="M170" s="100"/>
      <c r="N170" s="100"/>
      <c r="O170" s="100"/>
      <c r="P170" s="89">
        <v>3</v>
      </c>
      <c r="Q170" s="100"/>
      <c r="R170" s="100"/>
      <c r="S170" s="100"/>
      <c r="T170" s="100"/>
      <c r="U170" s="92">
        <v>350.8</v>
      </c>
      <c r="V170" s="100"/>
      <c r="W170" s="100"/>
      <c r="X170" s="100"/>
    </row>
    <row r="171" spans="1:24">
      <c r="A171" s="89">
        <v>22</v>
      </c>
      <c r="B171" s="100"/>
      <c r="C171" s="100"/>
      <c r="D171" s="100"/>
      <c r="E171" s="100"/>
      <c r="F171" s="91">
        <v>5</v>
      </c>
      <c r="G171" s="100"/>
      <c r="H171" s="100"/>
      <c r="I171" s="100"/>
      <c r="J171" s="100"/>
      <c r="K171" s="89">
        <v>0</v>
      </c>
      <c r="L171" s="100"/>
      <c r="M171" s="100"/>
      <c r="N171" s="100"/>
      <c r="O171" s="100"/>
      <c r="P171" s="89">
        <v>10</v>
      </c>
      <c r="Q171" s="100"/>
      <c r="R171" s="100"/>
      <c r="S171" s="100"/>
      <c r="T171" s="100"/>
      <c r="U171" s="92">
        <v>30</v>
      </c>
      <c r="V171" s="100"/>
      <c r="W171" s="100"/>
      <c r="X171" s="100"/>
    </row>
    <row r="172" spans="1:24">
      <c r="A172" s="89">
        <v>22</v>
      </c>
      <c r="B172" s="100"/>
      <c r="C172" s="100"/>
      <c r="D172" s="100"/>
      <c r="E172" s="100"/>
      <c r="F172" s="91">
        <v>10</v>
      </c>
      <c r="G172" s="100"/>
      <c r="H172" s="100"/>
      <c r="I172" s="100"/>
      <c r="J172" s="100"/>
      <c r="K172" s="89">
        <v>2</v>
      </c>
      <c r="L172" s="100"/>
      <c r="M172" s="100"/>
      <c r="N172" s="100"/>
      <c r="O172" s="100"/>
      <c r="P172" s="89">
        <v>10</v>
      </c>
      <c r="Q172" s="100"/>
      <c r="R172" s="100"/>
      <c r="S172" s="100"/>
      <c r="T172" s="100"/>
      <c r="U172" s="92">
        <v>30</v>
      </c>
      <c r="V172" s="100"/>
      <c r="W172" s="100"/>
      <c r="X172" s="100"/>
    </row>
    <row r="173" spans="1:24">
      <c r="A173" s="89">
        <v>22</v>
      </c>
      <c r="B173" s="100"/>
      <c r="C173" s="100"/>
      <c r="D173" s="100"/>
      <c r="E173" s="100"/>
      <c r="F173" s="91">
        <v>1</v>
      </c>
      <c r="G173" s="100"/>
      <c r="H173" s="100"/>
      <c r="I173" s="100"/>
      <c r="J173" s="100"/>
      <c r="K173" s="89">
        <v>0</v>
      </c>
      <c r="L173" s="100"/>
      <c r="M173" s="100"/>
      <c r="N173" s="100"/>
      <c r="O173" s="100"/>
      <c r="P173" s="89">
        <v>0</v>
      </c>
      <c r="Q173" s="100"/>
      <c r="R173" s="100"/>
      <c r="S173" s="100"/>
      <c r="T173" s="100"/>
      <c r="U173" s="92">
        <v>10.6</v>
      </c>
      <c r="V173" s="100"/>
      <c r="W173" s="100"/>
      <c r="X173" s="100"/>
    </row>
    <row r="174" spans="1:24">
      <c r="A174" s="89">
        <v>22</v>
      </c>
      <c r="B174" s="100"/>
      <c r="C174" s="100"/>
      <c r="D174" s="100"/>
      <c r="E174" s="100"/>
      <c r="F174" s="91">
        <v>7.5</v>
      </c>
      <c r="G174" s="100"/>
      <c r="H174" s="100"/>
      <c r="I174" s="100"/>
      <c r="J174" s="100"/>
      <c r="K174" s="89">
        <v>0</v>
      </c>
      <c r="L174" s="100"/>
      <c r="M174" s="100"/>
      <c r="N174" s="100"/>
      <c r="O174" s="100"/>
      <c r="P174" s="89">
        <v>1</v>
      </c>
      <c r="Q174" s="100"/>
      <c r="R174" s="100"/>
      <c r="S174" s="100"/>
      <c r="T174" s="100"/>
      <c r="U174" s="92">
        <v>19.989999999999998</v>
      </c>
      <c r="V174" s="100"/>
      <c r="W174" s="100"/>
      <c r="X174" s="100"/>
    </row>
    <row r="175" spans="1:24">
      <c r="A175" s="89">
        <v>22</v>
      </c>
      <c r="B175" s="100"/>
      <c r="C175" s="100"/>
      <c r="D175" s="100"/>
      <c r="E175" s="100"/>
      <c r="F175" s="91">
        <v>5.75</v>
      </c>
      <c r="G175" s="100"/>
      <c r="H175" s="100"/>
      <c r="I175" s="100"/>
      <c r="J175" s="100"/>
      <c r="K175" s="89">
        <v>0</v>
      </c>
      <c r="L175" s="100"/>
      <c r="M175" s="100"/>
      <c r="N175" s="100"/>
      <c r="O175" s="100"/>
      <c r="P175" s="89">
        <v>3</v>
      </c>
      <c r="Q175" s="100"/>
      <c r="R175" s="100"/>
      <c r="S175" s="100"/>
      <c r="T175" s="100"/>
      <c r="U175" s="92">
        <v>40.6</v>
      </c>
      <c r="V175" s="100"/>
      <c r="W175" s="100"/>
      <c r="X175" s="100"/>
    </row>
    <row r="176" spans="1:24">
      <c r="A176" s="89">
        <v>22</v>
      </c>
      <c r="B176" s="100"/>
      <c r="C176" s="100"/>
      <c r="D176" s="100"/>
      <c r="E176" s="100"/>
      <c r="F176" s="91">
        <v>1</v>
      </c>
      <c r="G176" s="100"/>
      <c r="H176" s="100"/>
      <c r="I176" s="100"/>
      <c r="J176" s="100"/>
      <c r="K176" s="89">
        <v>0</v>
      </c>
      <c r="L176" s="100"/>
      <c r="M176" s="100"/>
      <c r="N176" s="100"/>
      <c r="O176" s="100"/>
      <c r="P176" s="89">
        <v>1</v>
      </c>
      <c r="Q176" s="100"/>
      <c r="R176" s="100"/>
      <c r="S176" s="100"/>
      <c r="T176" s="100"/>
      <c r="U176" s="92">
        <v>4.99</v>
      </c>
      <c r="V176" s="100"/>
      <c r="W176" s="100"/>
      <c r="X176" s="100"/>
    </row>
    <row r="177" spans="1:24">
      <c r="A177" s="89">
        <v>22</v>
      </c>
      <c r="B177" s="100"/>
      <c r="C177" s="100"/>
      <c r="D177" s="100"/>
      <c r="E177" s="100"/>
      <c r="F177" s="91">
        <v>10.5</v>
      </c>
      <c r="G177" s="100"/>
      <c r="H177" s="100"/>
      <c r="I177" s="100"/>
      <c r="J177" s="100"/>
      <c r="K177" s="89">
        <v>1</v>
      </c>
      <c r="L177" s="100"/>
      <c r="M177" s="100"/>
      <c r="N177" s="100"/>
      <c r="O177" s="100"/>
      <c r="P177" s="89">
        <v>2</v>
      </c>
      <c r="Q177" s="100"/>
      <c r="R177" s="100"/>
      <c r="S177" s="100"/>
      <c r="T177" s="100"/>
      <c r="U177" s="92">
        <v>14.6</v>
      </c>
      <c r="V177" s="100"/>
      <c r="W177" s="100"/>
      <c r="X177" s="100"/>
    </row>
    <row r="178" spans="1:24">
      <c r="A178" s="89">
        <v>22</v>
      </c>
      <c r="B178" s="100"/>
      <c r="C178" s="100"/>
      <c r="D178" s="100"/>
      <c r="E178" s="100"/>
      <c r="F178" s="91">
        <v>20.5</v>
      </c>
      <c r="G178" s="100"/>
      <c r="H178" s="100"/>
      <c r="I178" s="100"/>
      <c r="J178" s="100"/>
      <c r="K178" s="89">
        <v>2</v>
      </c>
      <c r="L178" s="100"/>
      <c r="M178" s="100"/>
      <c r="N178" s="100"/>
      <c r="O178" s="100"/>
      <c r="P178" s="89">
        <v>3</v>
      </c>
      <c r="Q178" s="100"/>
      <c r="R178" s="100"/>
      <c r="S178" s="100"/>
      <c r="T178" s="100"/>
      <c r="U178" s="92">
        <v>14.4</v>
      </c>
      <c r="V178" s="100"/>
      <c r="W178" s="100"/>
      <c r="X178" s="100"/>
    </row>
    <row r="179" spans="1:24">
      <c r="A179" s="89">
        <v>22</v>
      </c>
      <c r="B179" s="100"/>
      <c r="C179" s="100"/>
      <c r="D179" s="100"/>
      <c r="E179" s="100"/>
      <c r="F179" s="91">
        <v>10.5</v>
      </c>
      <c r="G179" s="100"/>
      <c r="H179" s="100"/>
      <c r="I179" s="100"/>
      <c r="J179" s="100"/>
      <c r="K179" s="89">
        <v>0</v>
      </c>
      <c r="L179" s="100"/>
      <c r="M179" s="100"/>
      <c r="N179" s="100"/>
      <c r="O179" s="100"/>
      <c r="P179" s="89">
        <v>2</v>
      </c>
      <c r="Q179" s="100"/>
      <c r="R179" s="100"/>
      <c r="S179" s="100"/>
      <c r="T179" s="100"/>
      <c r="U179" s="92">
        <v>22.6</v>
      </c>
      <c r="V179" s="100"/>
      <c r="W179" s="100"/>
      <c r="X179" s="100"/>
    </row>
    <row r="180" spans="1:24">
      <c r="A180" s="89">
        <v>22</v>
      </c>
      <c r="B180" s="100"/>
      <c r="C180" s="100"/>
      <c r="D180" s="100"/>
      <c r="E180" s="100"/>
      <c r="F180" s="91">
        <v>0</v>
      </c>
      <c r="G180" s="100"/>
      <c r="H180" s="100"/>
      <c r="I180" s="100"/>
      <c r="J180" s="100"/>
      <c r="K180" s="89">
        <v>0</v>
      </c>
      <c r="L180" s="100"/>
      <c r="M180" s="100"/>
      <c r="N180" s="100"/>
      <c r="O180" s="100"/>
      <c r="P180" s="89">
        <v>2</v>
      </c>
      <c r="Q180" s="100"/>
      <c r="R180" s="100"/>
      <c r="S180" s="100"/>
      <c r="T180" s="100"/>
      <c r="U180" s="92">
        <v>24.99</v>
      </c>
      <c r="V180" s="100"/>
      <c r="W180" s="100"/>
      <c r="X180" s="100"/>
    </row>
    <row r="181" spans="1:24">
      <c r="A181" s="89">
        <v>22</v>
      </c>
      <c r="B181" s="100"/>
      <c r="C181" s="100"/>
      <c r="D181" s="100"/>
      <c r="E181" s="100"/>
      <c r="F181" s="91">
        <v>5.75</v>
      </c>
      <c r="G181" s="100"/>
      <c r="H181" s="100"/>
      <c r="I181" s="100"/>
      <c r="J181" s="100"/>
      <c r="K181" s="89">
        <v>0</v>
      </c>
      <c r="L181" s="100"/>
      <c r="M181" s="100"/>
      <c r="N181" s="100"/>
      <c r="O181" s="100"/>
      <c r="P181" s="89">
        <v>2</v>
      </c>
      <c r="Q181" s="100"/>
      <c r="R181" s="100"/>
      <c r="S181" s="100"/>
      <c r="T181" s="100"/>
      <c r="U181" s="92">
        <v>19.8</v>
      </c>
      <c r="V181" s="100"/>
      <c r="W181" s="100"/>
      <c r="X181" s="100"/>
    </row>
    <row r="182" spans="1:24">
      <c r="A182" s="89">
        <v>22</v>
      </c>
      <c r="B182" s="100"/>
      <c r="C182" s="100"/>
      <c r="D182" s="100"/>
      <c r="E182" s="100"/>
      <c r="F182" s="91">
        <v>2</v>
      </c>
      <c r="G182" s="100"/>
      <c r="H182" s="100"/>
      <c r="I182" s="100"/>
      <c r="J182" s="100"/>
      <c r="K182" s="89">
        <v>0</v>
      </c>
      <c r="L182" s="100"/>
      <c r="M182" s="100"/>
      <c r="N182" s="100"/>
      <c r="O182" s="100"/>
      <c r="P182" s="89">
        <v>6</v>
      </c>
      <c r="Q182" s="100"/>
      <c r="R182" s="100"/>
      <c r="S182" s="100"/>
      <c r="T182" s="100"/>
      <c r="U182" s="92">
        <v>20</v>
      </c>
      <c r="V182" s="100"/>
      <c r="W182" s="100"/>
      <c r="X182" s="100"/>
    </row>
    <row r="183" spans="1:24">
      <c r="A183" s="89">
        <v>22</v>
      </c>
      <c r="B183" s="100"/>
      <c r="C183" s="100"/>
      <c r="D183" s="100"/>
      <c r="E183" s="100"/>
      <c r="F183" s="91">
        <v>8.75</v>
      </c>
      <c r="G183" s="100"/>
      <c r="H183" s="100"/>
      <c r="I183" s="100"/>
      <c r="J183" s="100"/>
      <c r="K183" s="89">
        <v>0</v>
      </c>
      <c r="L183" s="100"/>
      <c r="M183" s="100"/>
      <c r="N183" s="100"/>
      <c r="O183" s="100"/>
      <c r="P183" s="89">
        <v>2</v>
      </c>
      <c r="Q183" s="100"/>
      <c r="R183" s="100"/>
      <c r="S183" s="100"/>
      <c r="T183" s="100"/>
      <c r="U183" s="92">
        <v>12.9</v>
      </c>
      <c r="V183" s="100"/>
      <c r="W183" s="100"/>
      <c r="X183" s="100"/>
    </row>
    <row r="184" spans="1:24">
      <c r="A184" s="89">
        <v>22</v>
      </c>
      <c r="B184" s="100"/>
      <c r="C184" s="100"/>
      <c r="D184" s="100"/>
      <c r="E184" s="100"/>
      <c r="F184" s="91">
        <v>7.5</v>
      </c>
      <c r="G184" s="100"/>
      <c r="H184" s="100"/>
      <c r="I184" s="100"/>
      <c r="J184" s="100"/>
      <c r="K184" s="89">
        <v>0</v>
      </c>
      <c r="L184" s="100"/>
      <c r="M184" s="100"/>
      <c r="N184" s="100"/>
      <c r="O184" s="100"/>
      <c r="P184" s="89">
        <v>3</v>
      </c>
      <c r="Q184" s="100"/>
      <c r="R184" s="100"/>
      <c r="S184" s="100"/>
      <c r="T184" s="100"/>
      <c r="U184" s="92">
        <v>29.99</v>
      </c>
      <c r="V184" s="100"/>
      <c r="W184" s="100"/>
      <c r="X184" s="100"/>
    </row>
    <row r="185" spans="1:24">
      <c r="A185" s="89">
        <v>22</v>
      </c>
      <c r="B185" s="100"/>
      <c r="C185" s="100"/>
      <c r="D185" s="100"/>
      <c r="E185" s="100"/>
      <c r="F185" s="91">
        <v>2.75</v>
      </c>
      <c r="G185" s="100"/>
      <c r="H185" s="100"/>
      <c r="I185" s="100"/>
      <c r="J185" s="100"/>
      <c r="K185" s="89">
        <v>1</v>
      </c>
      <c r="L185" s="100"/>
      <c r="M185" s="100"/>
      <c r="N185" s="100"/>
      <c r="O185" s="100"/>
      <c r="P185" s="89">
        <v>1</v>
      </c>
      <c r="Q185" s="100"/>
      <c r="R185" s="100"/>
      <c r="S185" s="100"/>
      <c r="T185" s="100"/>
      <c r="U185" s="92">
        <v>15.7</v>
      </c>
      <c r="V185" s="100"/>
      <c r="W185" s="100"/>
      <c r="X185" s="100"/>
    </row>
    <row r="186" spans="1:24">
      <c r="A186" s="89">
        <v>22</v>
      </c>
      <c r="B186" s="100"/>
      <c r="C186" s="100"/>
      <c r="D186" s="100"/>
      <c r="E186" s="100"/>
      <c r="F186" s="91">
        <v>16</v>
      </c>
      <c r="G186" s="100"/>
      <c r="H186" s="100"/>
      <c r="I186" s="100"/>
      <c r="J186" s="100"/>
      <c r="K186" s="89">
        <v>2</v>
      </c>
      <c r="L186" s="100"/>
      <c r="M186" s="100"/>
      <c r="N186" s="100"/>
      <c r="O186" s="100"/>
      <c r="P186" s="89">
        <v>3</v>
      </c>
      <c r="Q186" s="100"/>
      <c r="R186" s="100"/>
      <c r="S186" s="100"/>
      <c r="T186" s="100"/>
      <c r="U186" s="92">
        <v>31.5</v>
      </c>
      <c r="V186" s="100"/>
      <c r="W186" s="100"/>
      <c r="X186" s="100"/>
    </row>
    <row r="187" spans="1:24">
      <c r="A187" s="89">
        <v>22</v>
      </c>
      <c r="B187" s="100"/>
      <c r="C187" s="100"/>
      <c r="D187" s="100"/>
      <c r="E187" s="100"/>
      <c r="F187" s="91">
        <v>10</v>
      </c>
      <c r="G187" s="100"/>
      <c r="H187" s="100"/>
      <c r="I187" s="100"/>
      <c r="J187" s="100"/>
      <c r="K187" s="89">
        <v>4</v>
      </c>
      <c r="L187" s="100"/>
      <c r="M187" s="100"/>
      <c r="N187" s="100"/>
      <c r="O187" s="100"/>
      <c r="P187" s="89">
        <v>6</v>
      </c>
      <c r="Q187" s="100"/>
      <c r="R187" s="100"/>
      <c r="S187" s="100"/>
      <c r="T187" s="100"/>
      <c r="U187" s="92">
        <v>45</v>
      </c>
      <c r="V187" s="100"/>
      <c r="W187" s="100"/>
      <c r="X187" s="100"/>
    </row>
    <row r="188" spans="1:24">
      <c r="A188" s="89">
        <v>22</v>
      </c>
      <c r="B188" s="100"/>
      <c r="C188" s="100"/>
      <c r="D188" s="100"/>
      <c r="E188" s="100"/>
      <c r="F188" s="91">
        <v>2</v>
      </c>
      <c r="G188" s="100"/>
      <c r="H188" s="100"/>
      <c r="I188" s="100"/>
      <c r="J188" s="100"/>
      <c r="K188" s="89">
        <v>1</v>
      </c>
      <c r="L188" s="100"/>
      <c r="M188" s="100"/>
      <c r="N188" s="100"/>
      <c r="O188" s="100"/>
      <c r="P188" s="89">
        <v>7</v>
      </c>
      <c r="Q188" s="100"/>
      <c r="R188" s="100"/>
      <c r="S188" s="100"/>
      <c r="T188" s="100"/>
      <c r="U188" s="92">
        <v>15</v>
      </c>
      <c r="V188" s="100"/>
      <c r="W188" s="100"/>
      <c r="X188" s="100"/>
    </row>
    <row r="189" spans="1:24">
      <c r="A189" s="89">
        <v>22</v>
      </c>
      <c r="B189" s="100"/>
      <c r="C189" s="100"/>
      <c r="D189" s="100"/>
      <c r="E189" s="100"/>
      <c r="F189" s="91">
        <v>2</v>
      </c>
      <c r="G189" s="100"/>
      <c r="H189" s="100"/>
      <c r="I189" s="100"/>
      <c r="J189" s="100"/>
      <c r="K189" s="89">
        <v>0</v>
      </c>
      <c r="L189" s="100"/>
      <c r="M189" s="100"/>
      <c r="N189" s="100"/>
      <c r="O189" s="100"/>
      <c r="P189" s="89">
        <v>2</v>
      </c>
      <c r="Q189" s="100"/>
      <c r="R189" s="100"/>
      <c r="S189" s="100"/>
      <c r="T189" s="100"/>
      <c r="U189" s="92">
        <v>15</v>
      </c>
      <c r="V189" s="100"/>
      <c r="W189" s="100"/>
      <c r="X189" s="100"/>
    </row>
    <row r="190" spans="1:24">
      <c r="A190" s="89">
        <v>22</v>
      </c>
      <c r="B190" s="100"/>
      <c r="C190" s="100"/>
      <c r="D190" s="100"/>
      <c r="E190" s="100"/>
      <c r="F190" s="91">
        <v>0</v>
      </c>
      <c r="G190" s="100"/>
      <c r="H190" s="100"/>
      <c r="I190" s="100"/>
      <c r="J190" s="100"/>
      <c r="K190" s="89">
        <v>0</v>
      </c>
      <c r="L190" s="100"/>
      <c r="M190" s="100"/>
      <c r="N190" s="100"/>
      <c r="O190" s="100"/>
      <c r="P190" s="89">
        <v>1</v>
      </c>
      <c r="Q190" s="100"/>
      <c r="R190" s="100"/>
      <c r="S190" s="100"/>
      <c r="T190" s="100"/>
      <c r="U190" s="92">
        <v>0</v>
      </c>
      <c r="V190" s="100"/>
      <c r="W190" s="100"/>
      <c r="X190" s="100"/>
    </row>
    <row r="191" spans="1:24">
      <c r="A191" s="89">
        <v>22</v>
      </c>
      <c r="B191" s="100"/>
      <c r="C191" s="100"/>
      <c r="D191" s="100"/>
      <c r="E191" s="100"/>
      <c r="F191" s="91">
        <v>3</v>
      </c>
      <c r="G191" s="100"/>
      <c r="H191" s="100"/>
      <c r="I191" s="100"/>
      <c r="J191" s="100"/>
      <c r="K191" s="89">
        <v>1</v>
      </c>
      <c r="L191" s="100"/>
      <c r="M191" s="100"/>
      <c r="N191" s="100"/>
      <c r="O191" s="100"/>
      <c r="P191" s="89">
        <v>3</v>
      </c>
      <c r="Q191" s="100"/>
      <c r="R191" s="100"/>
      <c r="S191" s="100"/>
      <c r="T191" s="100"/>
      <c r="U191" s="92">
        <v>25</v>
      </c>
      <c r="V191" s="100"/>
      <c r="W191" s="100"/>
      <c r="X191" s="100"/>
    </row>
    <row r="192" spans="1:24">
      <c r="A192" s="89">
        <v>22</v>
      </c>
      <c r="B192" s="100"/>
      <c r="C192" s="100"/>
      <c r="D192" s="100"/>
      <c r="E192" s="100"/>
      <c r="F192" s="91">
        <v>2</v>
      </c>
      <c r="G192" s="100"/>
      <c r="H192" s="100"/>
      <c r="I192" s="100"/>
      <c r="J192" s="100"/>
      <c r="K192" s="89">
        <v>1</v>
      </c>
      <c r="L192" s="100"/>
      <c r="M192" s="100"/>
      <c r="N192" s="100"/>
      <c r="O192" s="100"/>
      <c r="P192" s="89">
        <v>2</v>
      </c>
      <c r="Q192" s="100"/>
      <c r="R192" s="100"/>
      <c r="S192" s="100"/>
      <c r="T192" s="100"/>
      <c r="U192" s="92">
        <v>15</v>
      </c>
      <c r="V192" s="100"/>
      <c r="W192" s="100"/>
      <c r="X192" s="100"/>
    </row>
    <row r="193" spans="1:24">
      <c r="A193" s="89">
        <v>22</v>
      </c>
      <c r="B193" s="100"/>
      <c r="C193" s="100"/>
      <c r="D193" s="100"/>
      <c r="E193" s="100"/>
      <c r="F193" s="91">
        <v>1</v>
      </c>
      <c r="G193" s="100"/>
      <c r="H193" s="100"/>
      <c r="I193" s="100"/>
      <c r="J193" s="100"/>
      <c r="K193" s="89">
        <v>0</v>
      </c>
      <c r="L193" s="100"/>
      <c r="M193" s="100"/>
      <c r="N193" s="100"/>
      <c r="O193" s="100"/>
      <c r="P193" s="89">
        <v>2</v>
      </c>
      <c r="Q193" s="100"/>
      <c r="R193" s="100"/>
      <c r="S193" s="100"/>
      <c r="T193" s="100"/>
      <c r="U193" s="92">
        <v>10</v>
      </c>
      <c r="V193" s="100"/>
      <c r="W193" s="100"/>
      <c r="X193" s="100"/>
    </row>
    <row r="194" spans="1:24">
      <c r="A194" s="89">
        <v>22</v>
      </c>
      <c r="B194" s="100"/>
      <c r="C194" s="100"/>
      <c r="D194" s="100"/>
      <c r="E194" s="100"/>
      <c r="F194" s="91">
        <v>0</v>
      </c>
      <c r="G194" s="100"/>
      <c r="H194" s="100"/>
      <c r="I194" s="100"/>
      <c r="J194" s="100"/>
      <c r="K194" s="89">
        <v>0</v>
      </c>
      <c r="L194" s="100"/>
      <c r="M194" s="100"/>
      <c r="N194" s="100"/>
      <c r="O194" s="100"/>
      <c r="P194" s="89">
        <v>0</v>
      </c>
      <c r="Q194" s="100"/>
      <c r="R194" s="100"/>
      <c r="S194" s="100"/>
      <c r="T194" s="100"/>
      <c r="U194" s="92">
        <v>0</v>
      </c>
      <c r="V194" s="100"/>
      <c r="W194" s="100"/>
      <c r="X194" s="100"/>
    </row>
    <row r="195" spans="1:24">
      <c r="A195" s="89">
        <v>22</v>
      </c>
      <c r="B195" s="100"/>
      <c r="C195" s="100"/>
      <c r="D195" s="100"/>
      <c r="E195" s="100"/>
      <c r="F195" s="91">
        <v>3</v>
      </c>
      <c r="G195" s="100"/>
      <c r="H195" s="100"/>
      <c r="I195" s="100"/>
      <c r="J195" s="100"/>
      <c r="K195" s="89">
        <v>1</v>
      </c>
      <c r="L195" s="100"/>
      <c r="M195" s="100"/>
      <c r="N195" s="100"/>
      <c r="O195" s="100"/>
      <c r="P195" s="89">
        <v>3</v>
      </c>
      <c r="Q195" s="100"/>
      <c r="R195" s="100"/>
      <c r="S195" s="100"/>
      <c r="T195" s="100"/>
      <c r="U195" s="92">
        <v>15</v>
      </c>
      <c r="V195" s="100"/>
      <c r="W195" s="100"/>
      <c r="X195" s="100"/>
    </row>
    <row r="196" spans="1:24">
      <c r="A196" s="89">
        <v>22</v>
      </c>
      <c r="B196" s="100"/>
      <c r="C196" s="100"/>
      <c r="D196" s="100"/>
      <c r="E196" s="100"/>
      <c r="F196" s="91">
        <v>2</v>
      </c>
      <c r="G196" s="100"/>
      <c r="H196" s="100"/>
      <c r="I196" s="100"/>
      <c r="J196" s="100"/>
      <c r="K196" s="89">
        <v>1</v>
      </c>
      <c r="L196" s="100"/>
      <c r="M196" s="100"/>
      <c r="N196" s="100"/>
      <c r="O196" s="100"/>
      <c r="P196" s="89">
        <v>2</v>
      </c>
      <c r="Q196" s="100"/>
      <c r="R196" s="100"/>
      <c r="S196" s="100"/>
      <c r="T196" s="100"/>
      <c r="U196" s="92">
        <v>10</v>
      </c>
      <c r="V196" s="100"/>
      <c r="W196" s="100"/>
      <c r="X196" s="100"/>
    </row>
    <row r="197" spans="1:24">
      <c r="A197" s="89">
        <v>22</v>
      </c>
      <c r="B197" s="100"/>
      <c r="C197" s="100"/>
      <c r="D197" s="100"/>
      <c r="E197" s="100"/>
      <c r="F197" s="91">
        <v>3</v>
      </c>
      <c r="G197" s="100"/>
      <c r="H197" s="100"/>
      <c r="I197" s="100"/>
      <c r="J197" s="100"/>
      <c r="K197" s="89">
        <v>1</v>
      </c>
      <c r="L197" s="100"/>
      <c r="M197" s="100"/>
      <c r="N197" s="100"/>
      <c r="O197" s="100"/>
      <c r="P197" s="89">
        <v>2</v>
      </c>
      <c r="Q197" s="100"/>
      <c r="R197" s="100"/>
      <c r="S197" s="100"/>
      <c r="T197" s="100"/>
      <c r="U197" s="92">
        <v>20</v>
      </c>
      <c r="V197" s="100"/>
      <c r="W197" s="100"/>
      <c r="X197" s="100"/>
    </row>
    <row r="198" spans="1:24">
      <c r="A198" s="89">
        <v>22</v>
      </c>
      <c r="B198" s="100"/>
      <c r="C198" s="100"/>
      <c r="D198" s="100"/>
      <c r="E198" s="100"/>
      <c r="F198" s="91">
        <v>0</v>
      </c>
      <c r="G198" s="100"/>
      <c r="H198" s="100"/>
      <c r="I198" s="100"/>
      <c r="J198" s="100"/>
      <c r="K198" s="89">
        <v>0</v>
      </c>
      <c r="L198" s="100"/>
      <c r="M198" s="100"/>
      <c r="N198" s="100"/>
      <c r="O198" s="100"/>
      <c r="P198" s="89">
        <v>0</v>
      </c>
      <c r="Q198" s="100"/>
      <c r="R198" s="100"/>
      <c r="S198" s="100"/>
      <c r="T198" s="100"/>
      <c r="U198" s="92">
        <v>0</v>
      </c>
      <c r="V198" s="100"/>
      <c r="W198" s="100"/>
      <c r="X198" s="100"/>
    </row>
    <row r="199" spans="1:24">
      <c r="A199" s="89">
        <v>22</v>
      </c>
      <c r="B199" s="100"/>
      <c r="C199" s="100"/>
      <c r="D199" s="100"/>
      <c r="E199" s="100"/>
      <c r="F199" s="91">
        <v>4</v>
      </c>
      <c r="G199" s="100"/>
      <c r="H199" s="100"/>
      <c r="I199" s="100"/>
      <c r="J199" s="100"/>
      <c r="K199" s="89">
        <v>1</v>
      </c>
      <c r="L199" s="100"/>
      <c r="M199" s="100"/>
      <c r="N199" s="100"/>
      <c r="O199" s="100"/>
      <c r="P199" s="89">
        <v>3</v>
      </c>
      <c r="Q199" s="100"/>
      <c r="R199" s="100"/>
      <c r="S199" s="100"/>
      <c r="T199" s="100"/>
      <c r="U199" s="92">
        <v>25</v>
      </c>
      <c r="V199" s="100"/>
      <c r="W199" s="100"/>
      <c r="X199" s="100"/>
    </row>
    <row r="200" spans="1:24">
      <c r="A200" s="89">
        <v>22</v>
      </c>
      <c r="B200" s="100"/>
      <c r="C200" s="100"/>
      <c r="D200" s="100"/>
      <c r="E200" s="100"/>
      <c r="F200" s="91">
        <v>2.5</v>
      </c>
      <c r="G200" s="100"/>
      <c r="H200" s="100"/>
      <c r="I200" s="100"/>
      <c r="J200" s="100"/>
      <c r="K200" s="89">
        <v>1</v>
      </c>
      <c r="L200" s="100"/>
      <c r="M200" s="100"/>
      <c r="N200" s="100"/>
      <c r="O200" s="100"/>
      <c r="P200" s="89">
        <v>2</v>
      </c>
      <c r="Q200" s="100"/>
      <c r="R200" s="100"/>
      <c r="S200" s="100"/>
      <c r="T200" s="100"/>
      <c r="U200" s="92">
        <v>10</v>
      </c>
      <c r="V200" s="100"/>
      <c r="W200" s="100"/>
      <c r="X200" s="100"/>
    </row>
    <row r="201" spans="1:24">
      <c r="A201" s="89">
        <v>22</v>
      </c>
      <c r="B201" s="100"/>
      <c r="C201" s="100"/>
      <c r="D201" s="100"/>
      <c r="E201" s="100"/>
      <c r="F201" s="91">
        <v>5</v>
      </c>
      <c r="G201" s="100"/>
      <c r="H201" s="100"/>
      <c r="I201" s="100"/>
      <c r="J201" s="100"/>
      <c r="K201" s="89">
        <v>0</v>
      </c>
      <c r="L201" s="100"/>
      <c r="M201" s="100"/>
      <c r="N201" s="100"/>
      <c r="O201" s="100"/>
      <c r="P201" s="89">
        <v>10</v>
      </c>
      <c r="Q201" s="100"/>
      <c r="R201" s="100"/>
      <c r="S201" s="100"/>
      <c r="T201" s="100"/>
      <c r="U201" s="92">
        <v>50</v>
      </c>
      <c r="V201" s="100"/>
      <c r="W201" s="100"/>
      <c r="X201" s="100"/>
    </row>
    <row r="202" spans="1:24">
      <c r="A202" s="89">
        <v>22</v>
      </c>
      <c r="B202" s="100"/>
      <c r="C202" s="100"/>
      <c r="D202" s="100"/>
      <c r="E202" s="100"/>
      <c r="F202" s="91">
        <v>1</v>
      </c>
      <c r="G202" s="100"/>
      <c r="H202" s="100"/>
      <c r="I202" s="100"/>
      <c r="J202" s="100"/>
      <c r="K202" s="89">
        <v>0</v>
      </c>
      <c r="L202" s="100"/>
      <c r="M202" s="100"/>
      <c r="N202" s="100"/>
      <c r="O202" s="100"/>
      <c r="P202" s="89">
        <v>2</v>
      </c>
      <c r="Q202" s="100"/>
      <c r="R202" s="100"/>
      <c r="S202" s="100"/>
      <c r="T202" s="100"/>
      <c r="U202" s="92">
        <v>0</v>
      </c>
      <c r="V202" s="100"/>
      <c r="W202" s="100"/>
      <c r="X202" s="100"/>
    </row>
    <row r="203" spans="1:24">
      <c r="A203" s="89">
        <v>22</v>
      </c>
      <c r="B203" s="100"/>
      <c r="C203" s="100"/>
      <c r="D203" s="100"/>
      <c r="E203" s="100"/>
      <c r="F203" s="91">
        <v>4</v>
      </c>
      <c r="G203" s="100"/>
      <c r="H203" s="100"/>
      <c r="I203" s="100"/>
      <c r="J203" s="100"/>
      <c r="K203" s="89">
        <v>1</v>
      </c>
      <c r="L203" s="100"/>
      <c r="M203" s="100"/>
      <c r="N203" s="100"/>
      <c r="O203" s="100"/>
      <c r="P203" s="89">
        <v>6</v>
      </c>
      <c r="Q203" s="100"/>
      <c r="R203" s="100"/>
      <c r="S203" s="100"/>
      <c r="T203" s="100"/>
      <c r="U203" s="92">
        <v>130</v>
      </c>
      <c r="V203" s="100"/>
      <c r="W203" s="100"/>
      <c r="X203" s="100"/>
    </row>
    <row r="204" spans="1:24">
      <c r="A204" s="89">
        <v>22</v>
      </c>
      <c r="B204" s="100"/>
      <c r="C204" s="100"/>
      <c r="D204" s="100"/>
      <c r="E204" s="100"/>
      <c r="F204" s="91">
        <v>44</v>
      </c>
      <c r="G204" s="100"/>
      <c r="H204" s="100"/>
      <c r="I204" s="100"/>
      <c r="J204" s="100"/>
      <c r="K204" s="89">
        <v>6</v>
      </c>
      <c r="L204" s="100"/>
      <c r="M204" s="100"/>
      <c r="N204" s="100"/>
      <c r="O204" s="100"/>
      <c r="P204" s="89">
        <v>4</v>
      </c>
      <c r="Q204" s="100"/>
      <c r="R204" s="100"/>
      <c r="S204" s="100"/>
      <c r="T204" s="100"/>
      <c r="U204" s="92">
        <v>309</v>
      </c>
      <c r="V204" s="100"/>
      <c r="W204" s="100"/>
      <c r="X204" s="100"/>
    </row>
    <row r="205" spans="1:24">
      <c r="A205" s="89">
        <v>22</v>
      </c>
      <c r="B205" s="100"/>
      <c r="C205" s="100"/>
      <c r="D205" s="100"/>
      <c r="E205" s="100"/>
      <c r="F205" s="91">
        <v>2</v>
      </c>
      <c r="G205" s="100"/>
      <c r="H205" s="100"/>
      <c r="I205" s="100"/>
      <c r="J205" s="100"/>
      <c r="K205" s="89">
        <v>0</v>
      </c>
      <c r="L205" s="100"/>
      <c r="M205" s="100"/>
      <c r="N205" s="100"/>
      <c r="O205" s="100"/>
      <c r="P205" s="89">
        <v>4</v>
      </c>
      <c r="Q205" s="100"/>
      <c r="R205" s="100"/>
      <c r="S205" s="100"/>
      <c r="T205" s="100"/>
      <c r="U205" s="92">
        <v>0</v>
      </c>
      <c r="V205" s="100"/>
      <c r="W205" s="100"/>
      <c r="X205" s="100"/>
    </row>
    <row r="206" spans="1:24">
      <c r="A206" s="89">
        <v>22</v>
      </c>
      <c r="B206" s="100"/>
      <c r="C206" s="100"/>
      <c r="D206" s="100"/>
      <c r="E206" s="100"/>
      <c r="F206" s="91">
        <v>12</v>
      </c>
      <c r="G206" s="100"/>
      <c r="H206" s="100"/>
      <c r="I206" s="100"/>
      <c r="J206" s="100"/>
      <c r="K206" s="89">
        <v>2</v>
      </c>
      <c r="L206" s="100"/>
      <c r="M206" s="100"/>
      <c r="N206" s="100"/>
      <c r="O206" s="100"/>
      <c r="P206" s="89">
        <v>5</v>
      </c>
      <c r="Q206" s="100"/>
      <c r="R206" s="100"/>
      <c r="S206" s="100"/>
      <c r="T206" s="100"/>
      <c r="U206" s="92">
        <v>150</v>
      </c>
      <c r="V206" s="100"/>
      <c r="W206" s="100"/>
      <c r="X206" s="100"/>
    </row>
    <row r="207" spans="1:24">
      <c r="A207" s="89">
        <v>22</v>
      </c>
      <c r="B207" s="100"/>
      <c r="C207" s="100"/>
      <c r="D207" s="100"/>
      <c r="E207" s="100"/>
      <c r="F207" s="91">
        <v>3</v>
      </c>
      <c r="G207" s="100"/>
      <c r="H207" s="100"/>
      <c r="I207" s="100"/>
      <c r="J207" s="100"/>
      <c r="K207" s="89">
        <v>0</v>
      </c>
      <c r="L207" s="100"/>
      <c r="M207" s="100"/>
      <c r="N207" s="100"/>
      <c r="O207" s="100"/>
      <c r="P207" s="89">
        <v>3</v>
      </c>
      <c r="Q207" s="100"/>
      <c r="R207" s="100"/>
      <c r="S207" s="100"/>
      <c r="T207" s="100"/>
      <c r="U207" s="92">
        <v>0</v>
      </c>
      <c r="V207" s="100"/>
      <c r="W207" s="100"/>
      <c r="X207" s="100"/>
    </row>
    <row r="208" spans="1:24">
      <c r="A208" s="89">
        <v>22</v>
      </c>
      <c r="B208" s="100"/>
      <c r="C208" s="100"/>
      <c r="D208" s="100"/>
      <c r="E208" s="100"/>
      <c r="F208" s="91">
        <v>0</v>
      </c>
      <c r="G208" s="100"/>
      <c r="H208" s="100"/>
      <c r="I208" s="100"/>
      <c r="J208" s="100"/>
      <c r="K208" s="89">
        <v>1</v>
      </c>
      <c r="L208" s="100"/>
      <c r="M208" s="100"/>
      <c r="N208" s="100"/>
      <c r="O208" s="100"/>
      <c r="P208" s="89">
        <v>3</v>
      </c>
      <c r="Q208" s="100"/>
      <c r="R208" s="100"/>
      <c r="S208" s="100"/>
      <c r="T208" s="100"/>
      <c r="U208" s="92">
        <v>0</v>
      </c>
      <c r="V208" s="100"/>
      <c r="W208" s="100"/>
      <c r="X208" s="100"/>
    </row>
    <row r="209" spans="1:24">
      <c r="A209" s="89">
        <v>22</v>
      </c>
      <c r="B209" s="100"/>
      <c r="C209" s="100"/>
      <c r="D209" s="100"/>
      <c r="E209" s="100"/>
      <c r="F209" s="91">
        <v>3</v>
      </c>
      <c r="G209" s="100"/>
      <c r="H209" s="100"/>
      <c r="I209" s="100"/>
      <c r="J209" s="100"/>
      <c r="K209" s="89">
        <v>0</v>
      </c>
      <c r="L209" s="100"/>
      <c r="M209" s="100"/>
      <c r="N209" s="100"/>
      <c r="O209" s="100"/>
      <c r="P209" s="89">
        <v>4</v>
      </c>
      <c r="Q209" s="100"/>
      <c r="R209" s="100"/>
      <c r="S209" s="100"/>
      <c r="T209" s="100"/>
      <c r="U209" s="92">
        <v>0</v>
      </c>
      <c r="V209" s="100"/>
      <c r="W209" s="100"/>
      <c r="X209" s="100"/>
    </row>
    <row r="210" spans="1:24">
      <c r="A210" s="89">
        <v>22</v>
      </c>
      <c r="B210" s="100"/>
      <c r="C210" s="100"/>
      <c r="D210" s="100"/>
      <c r="E210" s="100"/>
      <c r="F210" s="91">
        <v>21</v>
      </c>
      <c r="G210" s="100"/>
      <c r="H210" s="100"/>
      <c r="I210" s="100"/>
      <c r="J210" s="100"/>
      <c r="K210" s="89">
        <v>3</v>
      </c>
      <c r="L210" s="100"/>
      <c r="M210" s="100"/>
      <c r="N210" s="100"/>
      <c r="O210" s="100"/>
      <c r="P210" s="89">
        <v>5</v>
      </c>
      <c r="Q210" s="100"/>
      <c r="R210" s="100"/>
      <c r="S210" s="100"/>
      <c r="T210" s="100"/>
      <c r="U210" s="92">
        <v>0</v>
      </c>
      <c r="V210" s="100"/>
      <c r="W210" s="100"/>
      <c r="X210" s="100"/>
    </row>
    <row r="211" spans="1:24">
      <c r="A211" s="89">
        <v>22</v>
      </c>
      <c r="B211" s="100"/>
      <c r="C211" s="100"/>
      <c r="D211" s="100"/>
      <c r="E211" s="100"/>
      <c r="F211" s="91">
        <v>8</v>
      </c>
      <c r="G211" s="100"/>
      <c r="H211" s="100"/>
      <c r="I211" s="100"/>
      <c r="J211" s="100"/>
      <c r="K211" s="89">
        <v>2</v>
      </c>
      <c r="L211" s="100"/>
      <c r="M211" s="100"/>
      <c r="N211" s="100"/>
      <c r="O211" s="100"/>
      <c r="P211" s="89">
        <v>6</v>
      </c>
      <c r="Q211" s="100"/>
      <c r="R211" s="100"/>
      <c r="S211" s="100"/>
      <c r="T211" s="100"/>
      <c r="U211" s="92">
        <v>20</v>
      </c>
      <c r="V211" s="100"/>
      <c r="W211" s="100"/>
      <c r="X211" s="100"/>
    </row>
    <row r="212" spans="1:24">
      <c r="A212" s="89">
        <v>22</v>
      </c>
      <c r="B212" s="100"/>
      <c r="C212" s="100"/>
      <c r="D212" s="100"/>
      <c r="E212" s="100"/>
      <c r="F212" s="91">
        <v>3</v>
      </c>
      <c r="G212" s="100"/>
      <c r="H212" s="100"/>
      <c r="I212" s="100"/>
      <c r="J212" s="100"/>
      <c r="K212" s="89">
        <v>4</v>
      </c>
      <c r="L212" s="100"/>
      <c r="M212" s="100"/>
      <c r="N212" s="100"/>
      <c r="O212" s="100"/>
      <c r="P212" s="89">
        <v>6</v>
      </c>
      <c r="Q212" s="100"/>
      <c r="R212" s="100"/>
      <c r="S212" s="100"/>
      <c r="T212" s="100"/>
      <c r="U212" s="92">
        <v>0</v>
      </c>
      <c r="V212" s="100"/>
      <c r="W212" s="100"/>
      <c r="X212" s="100"/>
    </row>
    <row r="213" spans="1:24">
      <c r="A213" s="89">
        <v>22</v>
      </c>
      <c r="B213" s="100"/>
      <c r="C213" s="100"/>
      <c r="D213" s="100"/>
      <c r="E213" s="100"/>
      <c r="F213" s="91">
        <v>4</v>
      </c>
      <c r="G213" s="100"/>
      <c r="H213" s="100"/>
      <c r="I213" s="100"/>
      <c r="J213" s="100"/>
      <c r="K213" s="89">
        <v>1</v>
      </c>
      <c r="L213" s="100"/>
      <c r="M213" s="100"/>
      <c r="N213" s="100"/>
      <c r="O213" s="100"/>
      <c r="P213" s="89">
        <v>2</v>
      </c>
      <c r="Q213" s="100"/>
      <c r="R213" s="100"/>
      <c r="S213" s="100"/>
      <c r="T213" s="100"/>
      <c r="U213" s="92">
        <v>10</v>
      </c>
      <c r="V213" s="100"/>
      <c r="W213" s="100"/>
      <c r="X213" s="100"/>
    </row>
    <row r="214" spans="1:24">
      <c r="A214" s="89">
        <v>22</v>
      </c>
      <c r="B214" s="100"/>
      <c r="C214" s="100"/>
      <c r="D214" s="100"/>
      <c r="E214" s="100"/>
      <c r="F214" s="91">
        <v>1</v>
      </c>
      <c r="G214" s="100"/>
      <c r="H214" s="100"/>
      <c r="I214" s="100"/>
      <c r="J214" s="100"/>
      <c r="K214" s="89">
        <v>1</v>
      </c>
      <c r="L214" s="100"/>
      <c r="M214" s="100"/>
      <c r="N214" s="100"/>
      <c r="O214" s="100"/>
      <c r="P214" s="89">
        <v>3</v>
      </c>
      <c r="Q214" s="100"/>
      <c r="R214" s="100"/>
      <c r="S214" s="100"/>
      <c r="T214" s="100"/>
      <c r="U214" s="92">
        <v>10</v>
      </c>
      <c r="V214" s="100"/>
      <c r="W214" s="100"/>
      <c r="X214" s="100"/>
    </row>
    <row r="215" spans="1:24">
      <c r="A215" s="89">
        <v>22</v>
      </c>
      <c r="B215" s="100"/>
      <c r="C215" s="100"/>
      <c r="D215" s="100"/>
      <c r="E215" s="100"/>
      <c r="F215" s="91">
        <v>20</v>
      </c>
      <c r="G215" s="100"/>
      <c r="H215" s="100"/>
      <c r="I215" s="100"/>
      <c r="J215" s="100"/>
      <c r="K215" s="89">
        <v>2</v>
      </c>
      <c r="L215" s="100"/>
      <c r="M215" s="100"/>
      <c r="N215" s="100"/>
      <c r="O215" s="100"/>
      <c r="P215" s="89">
        <v>4</v>
      </c>
      <c r="Q215" s="100"/>
      <c r="R215" s="100"/>
      <c r="S215" s="100"/>
      <c r="T215" s="100"/>
      <c r="U215" s="92">
        <v>20</v>
      </c>
      <c r="V215" s="100"/>
      <c r="W215" s="100"/>
      <c r="X215" s="100"/>
    </row>
    <row r="216" spans="1:24">
      <c r="A216" s="89">
        <v>22</v>
      </c>
      <c r="B216" s="100"/>
      <c r="C216" s="100"/>
      <c r="D216" s="100"/>
      <c r="E216" s="100"/>
      <c r="F216" s="91">
        <v>2</v>
      </c>
      <c r="G216" s="100"/>
      <c r="H216" s="100"/>
      <c r="I216" s="100"/>
      <c r="J216" s="100"/>
      <c r="K216" s="89">
        <v>0</v>
      </c>
      <c r="L216" s="100"/>
      <c r="M216" s="100"/>
      <c r="N216" s="100"/>
      <c r="O216" s="100"/>
      <c r="P216" s="89">
        <v>2</v>
      </c>
      <c r="Q216" s="100"/>
      <c r="R216" s="100"/>
      <c r="S216" s="100"/>
      <c r="T216" s="100"/>
      <c r="U216" s="92">
        <v>5</v>
      </c>
      <c r="V216" s="100"/>
      <c r="W216" s="100"/>
      <c r="X216" s="100"/>
    </row>
    <row r="217" spans="1:24">
      <c r="A217" s="89">
        <v>22</v>
      </c>
      <c r="B217" s="100"/>
      <c r="C217" s="100"/>
      <c r="D217" s="100"/>
      <c r="E217" s="100"/>
      <c r="F217" s="91">
        <v>2.5</v>
      </c>
      <c r="G217" s="100"/>
      <c r="H217" s="100"/>
      <c r="I217" s="100"/>
      <c r="J217" s="100"/>
      <c r="K217" s="89">
        <v>2</v>
      </c>
      <c r="L217" s="100"/>
      <c r="M217" s="100"/>
      <c r="N217" s="100"/>
      <c r="O217" s="100"/>
      <c r="P217" s="89">
        <v>2</v>
      </c>
      <c r="Q217" s="100"/>
      <c r="R217" s="100"/>
      <c r="S217" s="100"/>
      <c r="T217" s="100"/>
      <c r="U217" s="92">
        <v>20</v>
      </c>
      <c r="V217" s="100"/>
      <c r="W217" s="100"/>
      <c r="X217" s="100"/>
    </row>
    <row r="218" spans="1:24">
      <c r="A218" s="89">
        <v>22</v>
      </c>
      <c r="B218" s="100"/>
      <c r="C218" s="100"/>
      <c r="D218" s="100"/>
      <c r="E218" s="100"/>
      <c r="F218" s="91">
        <v>4.5</v>
      </c>
      <c r="G218" s="100"/>
      <c r="H218" s="100"/>
      <c r="I218" s="100"/>
      <c r="J218" s="100"/>
      <c r="K218" s="89">
        <v>1</v>
      </c>
      <c r="L218" s="100"/>
      <c r="M218" s="100"/>
      <c r="N218" s="100"/>
      <c r="O218" s="100"/>
      <c r="P218" s="89">
        <v>1</v>
      </c>
      <c r="Q218" s="100"/>
      <c r="R218" s="100"/>
      <c r="S218" s="100"/>
      <c r="T218" s="100"/>
      <c r="U218" s="92">
        <v>10</v>
      </c>
      <c r="V218" s="100"/>
      <c r="W218" s="100"/>
      <c r="X218" s="100"/>
    </row>
    <row r="219" spans="1:24">
      <c r="A219" s="89">
        <v>22</v>
      </c>
      <c r="B219" s="100"/>
      <c r="C219" s="100"/>
      <c r="D219" s="100"/>
      <c r="E219" s="100"/>
      <c r="F219" s="91">
        <v>9</v>
      </c>
      <c r="G219" s="100"/>
      <c r="H219" s="100"/>
      <c r="I219" s="100"/>
      <c r="J219" s="100"/>
      <c r="K219" s="89">
        <v>1</v>
      </c>
      <c r="L219" s="100"/>
      <c r="M219" s="100"/>
      <c r="N219" s="100"/>
      <c r="O219" s="100"/>
      <c r="P219" s="89">
        <v>8</v>
      </c>
      <c r="Q219" s="100"/>
      <c r="R219" s="100"/>
      <c r="S219" s="100"/>
      <c r="T219" s="100"/>
      <c r="U219" s="92">
        <v>50</v>
      </c>
      <c r="V219" s="100"/>
      <c r="W219" s="100"/>
      <c r="X219" s="100"/>
    </row>
    <row r="220" spans="1:24">
      <c r="A220" s="89">
        <v>22</v>
      </c>
      <c r="B220" s="100"/>
      <c r="C220" s="100"/>
      <c r="D220" s="100"/>
      <c r="E220" s="100"/>
      <c r="F220" s="91">
        <v>10</v>
      </c>
      <c r="G220" s="100"/>
      <c r="H220" s="100"/>
      <c r="I220" s="100"/>
      <c r="J220" s="100"/>
      <c r="K220" s="89">
        <v>1</v>
      </c>
      <c r="L220" s="100"/>
      <c r="M220" s="100"/>
      <c r="N220" s="100"/>
      <c r="O220" s="100"/>
      <c r="P220" s="89">
        <v>2</v>
      </c>
      <c r="Q220" s="100"/>
      <c r="R220" s="100"/>
      <c r="S220" s="100"/>
      <c r="T220" s="100"/>
      <c r="U220" s="92">
        <v>25</v>
      </c>
      <c r="V220" s="100"/>
      <c r="W220" s="100"/>
      <c r="X220" s="100"/>
    </row>
    <row r="221" spans="1:24">
      <c r="A221" s="89">
        <v>22</v>
      </c>
      <c r="B221" s="100"/>
      <c r="C221" s="100"/>
      <c r="D221" s="100"/>
      <c r="E221" s="100"/>
      <c r="F221" s="91">
        <v>0.5</v>
      </c>
      <c r="G221" s="100"/>
      <c r="H221" s="100"/>
      <c r="I221" s="100"/>
      <c r="J221" s="100"/>
      <c r="K221" s="89">
        <v>0</v>
      </c>
      <c r="L221" s="100"/>
      <c r="M221" s="100"/>
      <c r="N221" s="100"/>
      <c r="O221" s="100"/>
      <c r="P221" s="89">
        <v>0</v>
      </c>
      <c r="Q221" s="100"/>
      <c r="R221" s="100"/>
      <c r="S221" s="100"/>
      <c r="T221" s="100"/>
      <c r="U221" s="92">
        <v>0</v>
      </c>
      <c r="V221" s="100"/>
      <c r="W221" s="100"/>
      <c r="X221" s="100"/>
    </row>
    <row r="222" spans="1:24">
      <c r="A222" s="89">
        <v>23</v>
      </c>
      <c r="B222" s="100"/>
      <c r="C222" s="100"/>
      <c r="D222" s="100"/>
      <c r="E222" s="100"/>
      <c r="F222" s="91">
        <v>6.25</v>
      </c>
      <c r="G222" s="100"/>
      <c r="H222" s="100"/>
      <c r="I222" s="100"/>
      <c r="J222" s="100"/>
      <c r="K222" s="89">
        <v>0</v>
      </c>
      <c r="L222" s="100"/>
      <c r="M222" s="100"/>
      <c r="N222" s="100"/>
      <c r="O222" s="100"/>
      <c r="P222" s="89">
        <v>1</v>
      </c>
      <c r="Q222" s="100"/>
      <c r="R222" s="100"/>
      <c r="S222" s="100"/>
      <c r="T222" s="100"/>
      <c r="U222" s="92">
        <v>1000.24</v>
      </c>
      <c r="V222" s="100"/>
      <c r="W222" s="100"/>
      <c r="X222" s="100"/>
    </row>
    <row r="223" spans="1:24">
      <c r="A223" s="89">
        <v>23</v>
      </c>
      <c r="B223" s="100"/>
      <c r="C223" s="100"/>
      <c r="D223" s="100"/>
      <c r="E223" s="100"/>
      <c r="F223" s="91">
        <v>0</v>
      </c>
      <c r="G223" s="100"/>
      <c r="H223" s="100"/>
      <c r="I223" s="100"/>
      <c r="J223" s="100"/>
      <c r="K223" s="89">
        <v>0</v>
      </c>
      <c r="L223" s="100"/>
      <c r="M223" s="100"/>
      <c r="N223" s="100"/>
      <c r="O223" s="100"/>
      <c r="P223" s="89">
        <v>6</v>
      </c>
      <c r="Q223" s="100"/>
      <c r="R223" s="100"/>
      <c r="S223" s="100"/>
      <c r="T223" s="100"/>
      <c r="U223" s="92">
        <v>30</v>
      </c>
      <c r="V223" s="100"/>
      <c r="W223" s="100"/>
      <c r="X223" s="100"/>
    </row>
    <row r="224" spans="1:24">
      <c r="A224" s="89">
        <v>23</v>
      </c>
      <c r="B224" s="100"/>
      <c r="C224" s="100"/>
      <c r="D224" s="100"/>
      <c r="E224" s="100"/>
      <c r="F224" s="91">
        <v>0</v>
      </c>
      <c r="G224" s="100"/>
      <c r="H224" s="100"/>
      <c r="I224" s="100"/>
      <c r="J224" s="100"/>
      <c r="K224" s="89">
        <v>0</v>
      </c>
      <c r="L224" s="100"/>
      <c r="M224" s="100"/>
      <c r="N224" s="100"/>
      <c r="O224" s="100"/>
      <c r="P224" s="89">
        <v>4</v>
      </c>
      <c r="Q224" s="100"/>
      <c r="R224" s="100"/>
      <c r="S224" s="100"/>
      <c r="T224" s="100"/>
      <c r="U224" s="92">
        <v>0</v>
      </c>
      <c r="V224" s="100"/>
      <c r="W224" s="100"/>
      <c r="X224" s="100"/>
    </row>
    <row r="225" spans="1:24">
      <c r="A225" s="89">
        <v>23</v>
      </c>
      <c r="B225" s="100"/>
      <c r="C225" s="100"/>
      <c r="D225" s="100"/>
      <c r="E225" s="100"/>
      <c r="F225" s="91">
        <v>4</v>
      </c>
      <c r="G225" s="100"/>
      <c r="H225" s="100"/>
      <c r="I225" s="100"/>
      <c r="J225" s="100"/>
      <c r="K225" s="89">
        <v>1</v>
      </c>
      <c r="L225" s="100"/>
      <c r="M225" s="100"/>
      <c r="N225" s="100"/>
      <c r="O225" s="100"/>
      <c r="P225" s="89">
        <v>5</v>
      </c>
      <c r="Q225" s="100"/>
      <c r="R225" s="100"/>
      <c r="S225" s="100"/>
      <c r="T225" s="100"/>
      <c r="U225" s="92">
        <v>50</v>
      </c>
      <c r="V225" s="100"/>
      <c r="W225" s="100"/>
      <c r="X225" s="100"/>
    </row>
    <row r="226" spans="1:24">
      <c r="A226" s="89">
        <v>23</v>
      </c>
      <c r="B226" s="100"/>
      <c r="C226" s="100"/>
      <c r="D226" s="100"/>
      <c r="E226" s="100"/>
      <c r="F226" s="91">
        <v>20</v>
      </c>
      <c r="G226" s="100"/>
      <c r="H226" s="100"/>
      <c r="I226" s="100"/>
      <c r="J226" s="100"/>
      <c r="K226" s="89">
        <v>3</v>
      </c>
      <c r="L226" s="100"/>
      <c r="M226" s="100"/>
      <c r="N226" s="100"/>
      <c r="O226" s="100"/>
      <c r="P226" s="89">
        <v>20</v>
      </c>
      <c r="Q226" s="100"/>
      <c r="R226" s="100"/>
      <c r="S226" s="100"/>
      <c r="T226" s="100"/>
      <c r="U226" s="92">
        <v>50</v>
      </c>
      <c r="V226" s="100"/>
      <c r="W226" s="100"/>
      <c r="X226" s="100"/>
    </row>
    <row r="227" spans="1:24">
      <c r="A227" s="89">
        <v>23</v>
      </c>
      <c r="B227" s="100"/>
      <c r="C227" s="100"/>
      <c r="D227" s="100"/>
      <c r="E227" s="100"/>
      <c r="F227" s="91">
        <v>6.7</v>
      </c>
      <c r="G227" s="100"/>
      <c r="H227" s="100"/>
      <c r="I227" s="100"/>
      <c r="J227" s="100"/>
      <c r="K227" s="89">
        <v>1</v>
      </c>
      <c r="L227" s="100"/>
      <c r="M227" s="100"/>
      <c r="N227" s="100"/>
      <c r="O227" s="100"/>
      <c r="P227" s="89">
        <v>3</v>
      </c>
      <c r="Q227" s="100"/>
      <c r="R227" s="100"/>
      <c r="S227" s="100"/>
      <c r="T227" s="100"/>
      <c r="U227" s="92">
        <v>300.60000000000002</v>
      </c>
      <c r="V227" s="100"/>
      <c r="W227" s="100"/>
      <c r="X227" s="100"/>
    </row>
    <row r="228" spans="1:24">
      <c r="A228" s="89">
        <v>23</v>
      </c>
      <c r="B228" s="100"/>
      <c r="C228" s="100"/>
      <c r="D228" s="100"/>
      <c r="E228" s="100"/>
      <c r="F228" s="91">
        <v>8.5</v>
      </c>
      <c r="G228" s="100"/>
      <c r="H228" s="100"/>
      <c r="I228" s="100"/>
      <c r="J228" s="100"/>
      <c r="K228" s="89">
        <v>3</v>
      </c>
      <c r="L228" s="100"/>
      <c r="M228" s="100"/>
      <c r="N228" s="100"/>
      <c r="O228" s="100"/>
      <c r="P228" s="89">
        <v>3</v>
      </c>
      <c r="Q228" s="100"/>
      <c r="R228" s="100"/>
      <c r="S228" s="100"/>
      <c r="T228" s="100"/>
      <c r="U228" s="92">
        <v>20.99</v>
      </c>
      <c r="V228" s="100"/>
      <c r="W228" s="100"/>
      <c r="X228" s="100"/>
    </row>
    <row r="229" spans="1:24">
      <c r="A229" s="89">
        <v>23</v>
      </c>
      <c r="B229" s="100"/>
      <c r="C229" s="100"/>
      <c r="D229" s="100"/>
      <c r="E229" s="100"/>
      <c r="F229" s="91">
        <v>14</v>
      </c>
      <c r="G229" s="100"/>
      <c r="H229" s="100"/>
      <c r="I229" s="100"/>
      <c r="J229" s="100"/>
      <c r="K229" s="89">
        <v>1</v>
      </c>
      <c r="L229" s="100"/>
      <c r="M229" s="100"/>
      <c r="N229" s="100"/>
      <c r="O229" s="100"/>
      <c r="P229" s="89">
        <v>9</v>
      </c>
      <c r="Q229" s="100"/>
      <c r="R229" s="100"/>
      <c r="S229" s="100"/>
      <c r="T229" s="100"/>
      <c r="U229" s="92">
        <v>75</v>
      </c>
      <c r="V229" s="100"/>
      <c r="W229" s="100"/>
      <c r="X229" s="100"/>
    </row>
    <row r="230" spans="1:24">
      <c r="A230" s="89">
        <v>23</v>
      </c>
      <c r="B230" s="100"/>
      <c r="C230" s="100"/>
      <c r="D230" s="100"/>
      <c r="E230" s="100"/>
      <c r="F230" s="91">
        <v>4.75</v>
      </c>
      <c r="G230" s="100"/>
      <c r="H230" s="100"/>
      <c r="I230" s="100"/>
      <c r="J230" s="100"/>
      <c r="K230" s="89">
        <v>0</v>
      </c>
      <c r="L230" s="100"/>
      <c r="M230" s="100"/>
      <c r="N230" s="100"/>
      <c r="O230" s="100"/>
      <c r="P230" s="89">
        <v>2</v>
      </c>
      <c r="Q230" s="100"/>
      <c r="R230" s="100"/>
      <c r="S230" s="100"/>
      <c r="T230" s="100"/>
      <c r="U230" s="92">
        <v>6.72</v>
      </c>
      <c r="V230" s="100"/>
      <c r="W230" s="100"/>
      <c r="X230" s="100"/>
    </row>
    <row r="231" spans="1:24">
      <c r="A231" s="89">
        <v>23</v>
      </c>
      <c r="B231" s="100"/>
      <c r="C231" s="100"/>
      <c r="D231" s="100"/>
      <c r="E231" s="100"/>
      <c r="F231" s="91">
        <v>4.5</v>
      </c>
      <c r="G231" s="100"/>
      <c r="H231" s="100"/>
      <c r="I231" s="100"/>
      <c r="J231" s="100"/>
      <c r="K231" s="89">
        <v>1</v>
      </c>
      <c r="L231" s="100"/>
      <c r="M231" s="100"/>
      <c r="N231" s="100"/>
      <c r="O231" s="100"/>
      <c r="P231" s="89">
        <v>2</v>
      </c>
      <c r="Q231" s="100"/>
      <c r="R231" s="100"/>
      <c r="S231" s="100"/>
      <c r="T231" s="100"/>
      <c r="U231" s="92">
        <v>10.199999999999999</v>
      </c>
      <c r="V231" s="100"/>
      <c r="W231" s="100"/>
      <c r="X231" s="100"/>
    </row>
    <row r="232" spans="1:24">
      <c r="A232" s="89">
        <v>23</v>
      </c>
      <c r="B232" s="100"/>
      <c r="C232" s="100"/>
      <c r="D232" s="100"/>
      <c r="E232" s="100"/>
      <c r="F232" s="91">
        <v>6.5</v>
      </c>
      <c r="G232" s="100"/>
      <c r="H232" s="100"/>
      <c r="I232" s="100"/>
      <c r="J232" s="100"/>
      <c r="K232" s="89">
        <v>2</v>
      </c>
      <c r="L232" s="100"/>
      <c r="M232" s="100"/>
      <c r="N232" s="100"/>
      <c r="O232" s="100"/>
      <c r="P232" s="89">
        <v>3</v>
      </c>
      <c r="Q232" s="100"/>
      <c r="R232" s="100"/>
      <c r="S232" s="100"/>
      <c r="T232" s="100"/>
      <c r="U232" s="92">
        <v>14.99</v>
      </c>
      <c r="V232" s="100"/>
      <c r="W232" s="100"/>
      <c r="X232" s="100"/>
    </row>
    <row r="233" spans="1:24">
      <c r="A233" s="89">
        <v>23</v>
      </c>
      <c r="B233" s="100"/>
      <c r="C233" s="100"/>
      <c r="D233" s="100"/>
      <c r="E233" s="100"/>
      <c r="F233" s="91">
        <v>10.75</v>
      </c>
      <c r="G233" s="100"/>
      <c r="H233" s="100"/>
      <c r="I233" s="100"/>
      <c r="J233" s="100"/>
      <c r="K233" s="89">
        <v>1</v>
      </c>
      <c r="L233" s="100"/>
      <c r="M233" s="100"/>
      <c r="N233" s="100"/>
      <c r="O233" s="100"/>
      <c r="P233" s="89">
        <v>0</v>
      </c>
      <c r="Q233" s="100"/>
      <c r="R233" s="100"/>
      <c r="S233" s="100"/>
      <c r="T233" s="100"/>
      <c r="U233" s="92">
        <v>18.989999999999998</v>
      </c>
      <c r="V233" s="100"/>
      <c r="W233" s="100"/>
      <c r="X233" s="100"/>
    </row>
    <row r="234" spans="1:24">
      <c r="A234" s="89">
        <v>23</v>
      </c>
      <c r="B234" s="100"/>
      <c r="C234" s="100"/>
      <c r="D234" s="100"/>
      <c r="E234" s="100"/>
      <c r="F234" s="91">
        <v>10.75</v>
      </c>
      <c r="G234" s="100"/>
      <c r="H234" s="100"/>
      <c r="I234" s="100"/>
      <c r="J234" s="100"/>
      <c r="K234" s="89">
        <v>0</v>
      </c>
      <c r="L234" s="100"/>
      <c r="M234" s="100"/>
      <c r="N234" s="100"/>
      <c r="O234" s="100"/>
      <c r="P234" s="89">
        <v>3</v>
      </c>
      <c r="Q234" s="100"/>
      <c r="R234" s="100"/>
      <c r="S234" s="100"/>
      <c r="T234" s="100"/>
      <c r="U234" s="92">
        <v>12.5</v>
      </c>
      <c r="V234" s="100"/>
      <c r="W234" s="100"/>
      <c r="X234" s="100"/>
    </row>
    <row r="235" spans="1:24">
      <c r="A235" s="89">
        <v>23</v>
      </c>
      <c r="B235" s="100"/>
      <c r="C235" s="100"/>
      <c r="D235" s="100"/>
      <c r="E235" s="100"/>
      <c r="F235" s="91">
        <v>0</v>
      </c>
      <c r="G235" s="100"/>
      <c r="H235" s="100"/>
      <c r="I235" s="100"/>
      <c r="J235" s="100"/>
      <c r="K235" s="89">
        <v>0</v>
      </c>
      <c r="L235" s="100"/>
      <c r="M235" s="100"/>
      <c r="N235" s="100"/>
      <c r="O235" s="100"/>
      <c r="P235" s="89">
        <v>3</v>
      </c>
      <c r="Q235" s="100"/>
      <c r="R235" s="100"/>
      <c r="S235" s="100"/>
      <c r="T235" s="100"/>
      <c r="U235" s="92">
        <v>100.7</v>
      </c>
      <c r="V235" s="100"/>
      <c r="W235" s="100"/>
      <c r="X235" s="100"/>
    </row>
    <row r="236" spans="1:24">
      <c r="A236" s="89">
        <v>23</v>
      </c>
      <c r="B236" s="100"/>
      <c r="C236" s="100"/>
      <c r="D236" s="100"/>
      <c r="E236" s="100"/>
      <c r="F236" s="91">
        <v>4</v>
      </c>
      <c r="G236" s="100"/>
      <c r="H236" s="100"/>
      <c r="I236" s="100"/>
      <c r="J236" s="100"/>
      <c r="K236" s="89">
        <v>0</v>
      </c>
      <c r="L236" s="100"/>
      <c r="M236" s="100"/>
      <c r="N236" s="100"/>
      <c r="O236" s="100"/>
      <c r="P236" s="89">
        <v>7</v>
      </c>
      <c r="Q236" s="100"/>
      <c r="R236" s="100"/>
      <c r="S236" s="100"/>
      <c r="T236" s="100"/>
      <c r="U236" s="92">
        <v>10</v>
      </c>
      <c r="V236" s="100"/>
      <c r="W236" s="100"/>
      <c r="X236" s="100"/>
    </row>
    <row r="237" spans="1:24">
      <c r="A237" s="89">
        <v>23</v>
      </c>
      <c r="B237" s="100"/>
      <c r="C237" s="100"/>
      <c r="D237" s="100"/>
      <c r="E237" s="100"/>
      <c r="F237" s="91">
        <v>15.5</v>
      </c>
      <c r="G237" s="100"/>
      <c r="H237" s="100"/>
      <c r="I237" s="100"/>
      <c r="J237" s="100"/>
      <c r="K237" s="89">
        <v>0</v>
      </c>
      <c r="L237" s="100"/>
      <c r="M237" s="100"/>
      <c r="N237" s="100"/>
      <c r="O237" s="100"/>
      <c r="P237" s="89">
        <v>1</v>
      </c>
      <c r="Q237" s="100"/>
      <c r="R237" s="100"/>
      <c r="S237" s="100"/>
      <c r="T237" s="100"/>
      <c r="U237" s="92">
        <v>36.9</v>
      </c>
      <c r="V237" s="100"/>
      <c r="W237" s="100"/>
      <c r="X237" s="100"/>
    </row>
    <row r="238" spans="1:24">
      <c r="A238" s="89">
        <v>23</v>
      </c>
      <c r="B238" s="100"/>
      <c r="C238" s="100"/>
      <c r="D238" s="100"/>
      <c r="E238" s="100"/>
      <c r="F238" s="91">
        <v>49</v>
      </c>
      <c r="G238" s="100"/>
      <c r="H238" s="100"/>
      <c r="I238" s="100"/>
      <c r="J238" s="100"/>
      <c r="K238" s="89">
        <v>5</v>
      </c>
      <c r="L238" s="100"/>
      <c r="M238" s="100"/>
      <c r="N238" s="100"/>
      <c r="O238" s="100"/>
      <c r="P238" s="89">
        <v>4</v>
      </c>
      <c r="Q238" s="100"/>
      <c r="R238" s="100"/>
      <c r="S238" s="100"/>
      <c r="T238" s="100"/>
      <c r="U238" s="92">
        <v>70</v>
      </c>
      <c r="V238" s="100"/>
      <c r="W238" s="100"/>
      <c r="X238" s="100"/>
    </row>
    <row r="239" spans="1:24">
      <c r="A239" s="89">
        <v>23</v>
      </c>
      <c r="B239" s="100"/>
      <c r="C239" s="100"/>
      <c r="D239" s="100"/>
      <c r="E239" s="100"/>
      <c r="F239" s="91">
        <v>0</v>
      </c>
      <c r="G239" s="100"/>
      <c r="H239" s="100"/>
      <c r="I239" s="100"/>
      <c r="J239" s="100"/>
      <c r="K239" s="89">
        <v>0</v>
      </c>
      <c r="L239" s="100"/>
      <c r="M239" s="100"/>
      <c r="N239" s="100"/>
      <c r="O239" s="100"/>
      <c r="P239" s="89">
        <v>6</v>
      </c>
      <c r="Q239" s="100"/>
      <c r="R239" s="100"/>
      <c r="S239" s="100"/>
      <c r="T239" s="100"/>
      <c r="U239" s="92">
        <v>0</v>
      </c>
      <c r="V239" s="100"/>
      <c r="W239" s="100"/>
      <c r="X239" s="100"/>
    </row>
    <row r="240" spans="1:24">
      <c r="A240" s="89">
        <v>23</v>
      </c>
      <c r="B240" s="100"/>
      <c r="C240" s="100"/>
      <c r="D240" s="100"/>
      <c r="E240" s="100"/>
      <c r="F240" s="91">
        <v>6</v>
      </c>
      <c r="G240" s="100"/>
      <c r="H240" s="100"/>
      <c r="I240" s="100"/>
      <c r="J240" s="100"/>
      <c r="K240" s="89">
        <v>1</v>
      </c>
      <c r="L240" s="100"/>
      <c r="M240" s="100"/>
      <c r="N240" s="100"/>
      <c r="O240" s="100"/>
      <c r="P240" s="89">
        <v>14</v>
      </c>
      <c r="Q240" s="100"/>
      <c r="R240" s="100"/>
      <c r="S240" s="100"/>
      <c r="T240" s="100"/>
      <c r="U240" s="92">
        <v>30</v>
      </c>
      <c r="V240" s="100"/>
      <c r="W240" s="100"/>
      <c r="X240" s="100"/>
    </row>
    <row r="241" spans="1:24">
      <c r="A241" s="89">
        <v>23</v>
      </c>
      <c r="B241" s="100"/>
      <c r="C241" s="100"/>
      <c r="D241" s="100"/>
      <c r="E241" s="100"/>
      <c r="F241" s="91">
        <v>0</v>
      </c>
      <c r="G241" s="100"/>
      <c r="H241" s="100"/>
      <c r="I241" s="100"/>
      <c r="J241" s="100"/>
      <c r="K241" s="89">
        <v>0</v>
      </c>
      <c r="L241" s="100"/>
      <c r="M241" s="100"/>
      <c r="N241" s="100"/>
      <c r="O241" s="100"/>
      <c r="P241" s="89">
        <v>1</v>
      </c>
      <c r="Q241" s="100"/>
      <c r="R241" s="100"/>
      <c r="S241" s="100"/>
      <c r="T241" s="100"/>
      <c r="U241" s="92">
        <v>0</v>
      </c>
      <c r="V241" s="100"/>
      <c r="W241" s="100"/>
      <c r="X241" s="100"/>
    </row>
    <row r="242" spans="1:24">
      <c r="A242" s="89">
        <v>23</v>
      </c>
      <c r="B242" s="100"/>
      <c r="C242" s="100"/>
      <c r="D242" s="100"/>
      <c r="E242" s="100"/>
      <c r="F242" s="91">
        <v>7</v>
      </c>
      <c r="G242" s="100"/>
      <c r="H242" s="100"/>
      <c r="I242" s="100"/>
      <c r="J242" s="100"/>
      <c r="K242" s="89">
        <v>2</v>
      </c>
      <c r="L242" s="100"/>
      <c r="M242" s="100"/>
      <c r="N242" s="100"/>
      <c r="O242" s="100"/>
      <c r="P242" s="89">
        <v>5</v>
      </c>
      <c r="Q242" s="100"/>
      <c r="R242" s="100"/>
      <c r="S242" s="100"/>
      <c r="T242" s="100"/>
      <c r="U242" s="92">
        <v>35</v>
      </c>
      <c r="V242" s="100"/>
      <c r="W242" s="100"/>
      <c r="X242" s="100"/>
    </row>
    <row r="243" spans="1:24">
      <c r="A243" s="89">
        <v>23</v>
      </c>
      <c r="B243" s="100"/>
      <c r="C243" s="100"/>
      <c r="D243" s="100"/>
      <c r="E243" s="100"/>
      <c r="F243" s="91">
        <v>5</v>
      </c>
      <c r="G243" s="100"/>
      <c r="H243" s="100"/>
      <c r="I243" s="100"/>
      <c r="J243" s="100"/>
      <c r="K243" s="89">
        <v>1</v>
      </c>
      <c r="L243" s="100"/>
      <c r="M243" s="100"/>
      <c r="N243" s="100"/>
      <c r="O243" s="100"/>
      <c r="P243" s="89">
        <v>3</v>
      </c>
      <c r="Q243" s="100"/>
      <c r="R243" s="100"/>
      <c r="S243" s="100"/>
      <c r="T243" s="100"/>
      <c r="U243" s="92">
        <v>25</v>
      </c>
      <c r="V243" s="100"/>
      <c r="W243" s="100"/>
      <c r="X243" s="100"/>
    </row>
    <row r="244" spans="1:24">
      <c r="A244" s="89">
        <v>23</v>
      </c>
      <c r="B244" s="100"/>
      <c r="C244" s="100"/>
      <c r="D244" s="100"/>
      <c r="E244" s="100"/>
      <c r="F244" s="91">
        <v>1</v>
      </c>
      <c r="G244" s="100"/>
      <c r="H244" s="100"/>
      <c r="I244" s="100"/>
      <c r="J244" s="100"/>
      <c r="K244" s="89">
        <v>0</v>
      </c>
      <c r="L244" s="100"/>
      <c r="M244" s="100"/>
      <c r="N244" s="100"/>
      <c r="O244" s="100"/>
      <c r="P244" s="89">
        <v>2</v>
      </c>
      <c r="Q244" s="100"/>
      <c r="R244" s="100"/>
      <c r="S244" s="100"/>
      <c r="T244" s="100"/>
      <c r="U244" s="92">
        <v>10</v>
      </c>
      <c r="V244" s="100"/>
      <c r="W244" s="100"/>
      <c r="X244" s="100"/>
    </row>
    <row r="245" spans="1:24">
      <c r="A245" s="89">
        <v>23</v>
      </c>
      <c r="B245" s="100"/>
      <c r="C245" s="100"/>
      <c r="D245" s="100"/>
      <c r="E245" s="100"/>
      <c r="F245" s="91">
        <v>3</v>
      </c>
      <c r="G245" s="100"/>
      <c r="H245" s="100"/>
      <c r="I245" s="100"/>
      <c r="J245" s="100"/>
      <c r="K245" s="89">
        <v>1</v>
      </c>
      <c r="L245" s="100"/>
      <c r="M245" s="100"/>
      <c r="N245" s="100"/>
      <c r="O245" s="100"/>
      <c r="P245" s="89">
        <v>2</v>
      </c>
      <c r="Q245" s="100"/>
      <c r="R245" s="100"/>
      <c r="S245" s="100"/>
      <c r="T245" s="100"/>
      <c r="U245" s="92">
        <v>15</v>
      </c>
      <c r="V245" s="100"/>
      <c r="W245" s="100"/>
      <c r="X245" s="100"/>
    </row>
    <row r="246" spans="1:24">
      <c r="A246" s="89">
        <v>23</v>
      </c>
      <c r="B246" s="100"/>
      <c r="C246" s="100"/>
      <c r="D246" s="100"/>
      <c r="E246" s="100"/>
      <c r="F246" s="91">
        <v>3</v>
      </c>
      <c r="G246" s="100"/>
      <c r="H246" s="100"/>
      <c r="I246" s="100"/>
      <c r="J246" s="100"/>
      <c r="K246" s="89">
        <v>1</v>
      </c>
      <c r="L246" s="100"/>
      <c r="M246" s="100"/>
      <c r="N246" s="100"/>
      <c r="O246" s="100"/>
      <c r="P246" s="89">
        <v>2</v>
      </c>
      <c r="Q246" s="100"/>
      <c r="R246" s="100"/>
      <c r="S246" s="100"/>
      <c r="T246" s="100"/>
      <c r="U246" s="92">
        <v>20</v>
      </c>
      <c r="V246" s="100"/>
      <c r="W246" s="100"/>
      <c r="X246" s="100"/>
    </row>
    <row r="247" spans="1:24">
      <c r="A247" s="89">
        <v>23</v>
      </c>
      <c r="B247" s="100"/>
      <c r="C247" s="100"/>
      <c r="D247" s="100"/>
      <c r="E247" s="100"/>
      <c r="F247" s="91">
        <v>1.5</v>
      </c>
      <c r="G247" s="100"/>
      <c r="H247" s="100"/>
      <c r="I247" s="100"/>
      <c r="J247" s="100"/>
      <c r="K247" s="89">
        <v>0</v>
      </c>
      <c r="L247" s="100"/>
      <c r="M247" s="100"/>
      <c r="N247" s="100"/>
      <c r="O247" s="100"/>
      <c r="P247" s="89">
        <v>1</v>
      </c>
      <c r="Q247" s="100"/>
      <c r="R247" s="100"/>
      <c r="S247" s="100"/>
      <c r="T247" s="100"/>
      <c r="U247" s="92">
        <v>10</v>
      </c>
      <c r="V247" s="100"/>
      <c r="W247" s="100"/>
      <c r="X247" s="100"/>
    </row>
    <row r="248" spans="1:24">
      <c r="A248" s="89">
        <v>23</v>
      </c>
      <c r="B248" s="100"/>
      <c r="C248" s="100"/>
      <c r="D248" s="100"/>
      <c r="E248" s="100"/>
      <c r="F248" s="91">
        <v>4</v>
      </c>
      <c r="G248" s="100"/>
      <c r="H248" s="100"/>
      <c r="I248" s="100"/>
      <c r="J248" s="100"/>
      <c r="K248" s="89">
        <v>1</v>
      </c>
      <c r="L248" s="100"/>
      <c r="M248" s="100"/>
      <c r="N248" s="100"/>
      <c r="O248" s="100"/>
      <c r="P248" s="89">
        <v>3</v>
      </c>
      <c r="Q248" s="100"/>
      <c r="R248" s="100"/>
      <c r="S248" s="100"/>
      <c r="T248" s="100"/>
      <c r="U248" s="92">
        <v>20</v>
      </c>
      <c r="V248" s="100"/>
      <c r="W248" s="100"/>
      <c r="X248" s="100"/>
    </row>
    <row r="249" spans="1:24">
      <c r="A249" s="89">
        <v>23</v>
      </c>
      <c r="B249" s="100"/>
      <c r="C249" s="100"/>
      <c r="D249" s="100"/>
      <c r="E249" s="100"/>
      <c r="F249" s="91">
        <v>6</v>
      </c>
      <c r="G249" s="100"/>
      <c r="H249" s="100"/>
      <c r="I249" s="100"/>
      <c r="J249" s="100"/>
      <c r="K249" s="89">
        <v>2</v>
      </c>
      <c r="L249" s="100"/>
      <c r="M249" s="100"/>
      <c r="N249" s="100"/>
      <c r="O249" s="100"/>
      <c r="P249" s="89">
        <v>3</v>
      </c>
      <c r="Q249" s="100"/>
      <c r="R249" s="100"/>
      <c r="S249" s="100"/>
      <c r="T249" s="100"/>
      <c r="U249" s="92">
        <v>25</v>
      </c>
      <c r="V249" s="100"/>
      <c r="W249" s="100"/>
      <c r="X249" s="100"/>
    </row>
    <row r="250" spans="1:24">
      <c r="A250" s="89">
        <v>23</v>
      </c>
      <c r="B250" s="100"/>
      <c r="C250" s="100"/>
      <c r="D250" s="100"/>
      <c r="E250" s="100"/>
      <c r="F250" s="91">
        <v>3</v>
      </c>
      <c r="G250" s="100"/>
      <c r="H250" s="100"/>
      <c r="I250" s="100"/>
      <c r="J250" s="100"/>
      <c r="K250" s="89">
        <v>0</v>
      </c>
      <c r="L250" s="100"/>
      <c r="M250" s="100"/>
      <c r="N250" s="100"/>
      <c r="O250" s="100"/>
      <c r="P250" s="89">
        <v>50</v>
      </c>
      <c r="Q250" s="100"/>
      <c r="R250" s="100"/>
      <c r="S250" s="100"/>
      <c r="T250" s="100"/>
      <c r="U250" s="92">
        <v>100</v>
      </c>
      <c r="V250" s="100"/>
      <c r="W250" s="100"/>
      <c r="X250" s="100"/>
    </row>
    <row r="251" spans="1:24">
      <c r="A251" s="89">
        <v>23</v>
      </c>
      <c r="B251" s="100"/>
      <c r="C251" s="100"/>
      <c r="D251" s="100"/>
      <c r="E251" s="100"/>
      <c r="F251" s="91">
        <v>4</v>
      </c>
      <c r="G251" s="100"/>
      <c r="H251" s="100"/>
      <c r="I251" s="100"/>
      <c r="J251" s="100"/>
      <c r="K251" s="89">
        <v>1</v>
      </c>
      <c r="L251" s="100"/>
      <c r="M251" s="100"/>
      <c r="N251" s="100"/>
      <c r="O251" s="100"/>
      <c r="P251" s="89">
        <v>3</v>
      </c>
      <c r="Q251" s="100"/>
      <c r="R251" s="100"/>
      <c r="S251" s="100"/>
      <c r="T251" s="100"/>
      <c r="U251" s="92">
        <v>20</v>
      </c>
      <c r="V251" s="100"/>
      <c r="W251" s="100"/>
      <c r="X251" s="100"/>
    </row>
    <row r="252" spans="1:24">
      <c r="A252" s="89">
        <v>23</v>
      </c>
      <c r="B252" s="100"/>
      <c r="C252" s="100"/>
      <c r="D252" s="100"/>
      <c r="E252" s="100"/>
      <c r="F252" s="91">
        <v>1</v>
      </c>
      <c r="G252" s="100"/>
      <c r="H252" s="100"/>
      <c r="I252" s="100"/>
      <c r="J252" s="100"/>
      <c r="K252" s="89">
        <v>2</v>
      </c>
      <c r="L252" s="100"/>
      <c r="M252" s="100"/>
      <c r="N252" s="100"/>
      <c r="O252" s="100"/>
      <c r="P252" s="89">
        <v>3</v>
      </c>
      <c r="Q252" s="100"/>
      <c r="R252" s="100"/>
      <c r="S252" s="100"/>
      <c r="T252" s="100"/>
      <c r="U252" s="92">
        <v>0</v>
      </c>
      <c r="V252" s="100"/>
      <c r="W252" s="100"/>
      <c r="X252" s="100"/>
    </row>
    <row r="253" spans="1:24">
      <c r="A253" s="89">
        <v>23</v>
      </c>
      <c r="B253" s="100"/>
      <c r="C253" s="100"/>
      <c r="D253" s="100"/>
      <c r="E253" s="100"/>
      <c r="F253" s="91">
        <v>6</v>
      </c>
      <c r="G253" s="100"/>
      <c r="H253" s="100"/>
      <c r="I253" s="100"/>
      <c r="J253" s="100"/>
      <c r="K253" s="89">
        <v>2</v>
      </c>
      <c r="L253" s="100"/>
      <c r="M253" s="100"/>
      <c r="N253" s="100"/>
      <c r="O253" s="100"/>
      <c r="P253" s="89">
        <v>3</v>
      </c>
      <c r="Q253" s="100"/>
      <c r="R253" s="100"/>
      <c r="S253" s="100"/>
      <c r="T253" s="100"/>
      <c r="U253" s="92">
        <v>30</v>
      </c>
      <c r="V253" s="100"/>
      <c r="W253" s="100"/>
      <c r="X253" s="100"/>
    </row>
    <row r="254" spans="1:24">
      <c r="A254" s="89">
        <v>23</v>
      </c>
      <c r="B254" s="100"/>
      <c r="C254" s="100"/>
      <c r="D254" s="100"/>
      <c r="E254" s="100"/>
      <c r="F254" s="91">
        <v>0</v>
      </c>
      <c r="G254" s="100"/>
      <c r="H254" s="100"/>
      <c r="I254" s="100"/>
      <c r="J254" s="100"/>
      <c r="K254" s="89">
        <v>0</v>
      </c>
      <c r="L254" s="100"/>
      <c r="M254" s="100"/>
      <c r="N254" s="100"/>
      <c r="O254" s="100"/>
      <c r="P254" s="89">
        <v>2</v>
      </c>
      <c r="Q254" s="100"/>
      <c r="R254" s="100"/>
      <c r="S254" s="100"/>
      <c r="T254" s="100"/>
      <c r="U254" s="92">
        <v>0</v>
      </c>
      <c r="V254" s="100"/>
      <c r="W254" s="100"/>
      <c r="X254" s="100"/>
    </row>
    <row r="255" spans="1:24">
      <c r="A255" s="89">
        <v>23</v>
      </c>
      <c r="B255" s="100"/>
      <c r="C255" s="100"/>
      <c r="D255" s="100"/>
      <c r="E255" s="100"/>
      <c r="F255" s="91">
        <v>0</v>
      </c>
      <c r="G255" s="100"/>
      <c r="H255" s="100"/>
      <c r="I255" s="100"/>
      <c r="J255" s="100"/>
      <c r="K255" s="89">
        <v>2</v>
      </c>
      <c r="L255" s="100"/>
      <c r="M255" s="100"/>
      <c r="N255" s="100"/>
      <c r="O255" s="100"/>
      <c r="P255" s="89">
        <v>0</v>
      </c>
      <c r="Q255" s="100"/>
      <c r="R255" s="100"/>
      <c r="S255" s="100"/>
      <c r="T255" s="100"/>
      <c r="U255" s="92">
        <v>0</v>
      </c>
      <c r="V255" s="100"/>
      <c r="W255" s="100"/>
      <c r="X255" s="100"/>
    </row>
    <row r="256" spans="1:24">
      <c r="A256" s="89">
        <v>23</v>
      </c>
      <c r="B256" s="100"/>
      <c r="C256" s="100"/>
      <c r="D256" s="100"/>
      <c r="E256" s="100"/>
      <c r="F256" s="91">
        <v>2</v>
      </c>
      <c r="G256" s="100"/>
      <c r="H256" s="100"/>
      <c r="I256" s="100"/>
      <c r="J256" s="100"/>
      <c r="K256" s="89">
        <v>0</v>
      </c>
      <c r="L256" s="100"/>
      <c r="M256" s="100"/>
      <c r="N256" s="100"/>
      <c r="O256" s="100"/>
      <c r="P256" s="89">
        <v>5</v>
      </c>
      <c r="Q256" s="100"/>
      <c r="R256" s="100"/>
      <c r="S256" s="100"/>
      <c r="T256" s="100"/>
      <c r="U256" s="92">
        <v>200</v>
      </c>
      <c r="V256" s="100"/>
      <c r="W256" s="100"/>
      <c r="X256" s="100"/>
    </row>
    <row r="257" spans="1:24">
      <c r="A257" s="89">
        <v>23</v>
      </c>
      <c r="B257" s="100"/>
      <c r="C257" s="100"/>
      <c r="D257" s="100"/>
      <c r="E257" s="100"/>
      <c r="F257" s="91">
        <v>11</v>
      </c>
      <c r="G257" s="100"/>
      <c r="H257" s="100"/>
      <c r="I257" s="100"/>
      <c r="J257" s="100"/>
      <c r="K257" s="89">
        <v>3</v>
      </c>
      <c r="L257" s="100"/>
      <c r="M257" s="100"/>
      <c r="N257" s="100"/>
      <c r="O257" s="100"/>
      <c r="P257" s="89">
        <v>3</v>
      </c>
      <c r="Q257" s="100"/>
      <c r="R257" s="100"/>
      <c r="S257" s="100"/>
      <c r="T257" s="100"/>
      <c r="U257" s="92">
        <v>80</v>
      </c>
      <c r="V257" s="100"/>
      <c r="W257" s="100"/>
      <c r="X257" s="100"/>
    </row>
    <row r="258" spans="1:24">
      <c r="A258" s="89">
        <v>23</v>
      </c>
      <c r="B258" s="100"/>
      <c r="C258" s="100"/>
      <c r="D258" s="100"/>
      <c r="E258" s="100"/>
      <c r="F258" s="91">
        <v>1</v>
      </c>
      <c r="G258" s="100"/>
      <c r="H258" s="100"/>
      <c r="I258" s="100"/>
      <c r="J258" s="100"/>
      <c r="K258" s="89">
        <v>0</v>
      </c>
      <c r="L258" s="100"/>
      <c r="M258" s="100"/>
      <c r="N258" s="100"/>
      <c r="O258" s="100"/>
      <c r="P258" s="89">
        <v>3</v>
      </c>
      <c r="Q258" s="100"/>
      <c r="R258" s="100"/>
      <c r="S258" s="100"/>
      <c r="T258" s="100"/>
      <c r="U258" s="92">
        <v>0</v>
      </c>
      <c r="V258" s="100"/>
      <c r="W258" s="100"/>
      <c r="X258" s="100"/>
    </row>
    <row r="259" spans="1:24">
      <c r="A259" s="89">
        <v>23</v>
      </c>
      <c r="B259" s="100"/>
      <c r="C259" s="100"/>
      <c r="D259" s="100"/>
      <c r="E259" s="100"/>
      <c r="F259" s="91">
        <v>1</v>
      </c>
      <c r="G259" s="100"/>
      <c r="H259" s="100"/>
      <c r="I259" s="100"/>
      <c r="J259" s="100"/>
      <c r="K259" s="89">
        <v>0</v>
      </c>
      <c r="L259" s="100"/>
      <c r="M259" s="100"/>
      <c r="N259" s="100"/>
      <c r="O259" s="100"/>
      <c r="P259" s="89">
        <v>6</v>
      </c>
      <c r="Q259" s="100"/>
      <c r="R259" s="100"/>
      <c r="S259" s="100"/>
      <c r="T259" s="100"/>
      <c r="U259" s="92">
        <v>0</v>
      </c>
      <c r="V259" s="100"/>
      <c r="W259" s="100"/>
      <c r="X259" s="100"/>
    </row>
    <row r="260" spans="1:24">
      <c r="A260" s="89">
        <v>23</v>
      </c>
      <c r="B260" s="100"/>
      <c r="C260" s="100"/>
      <c r="D260" s="100"/>
      <c r="E260" s="100"/>
      <c r="F260" s="91">
        <v>2</v>
      </c>
      <c r="G260" s="100"/>
      <c r="H260" s="100"/>
      <c r="I260" s="100"/>
      <c r="J260" s="100"/>
      <c r="K260" s="89">
        <v>0</v>
      </c>
      <c r="L260" s="100"/>
      <c r="M260" s="100"/>
      <c r="N260" s="100"/>
      <c r="O260" s="100"/>
      <c r="P260" s="89">
        <v>3</v>
      </c>
      <c r="Q260" s="100"/>
      <c r="R260" s="100"/>
      <c r="S260" s="100"/>
      <c r="T260" s="100"/>
      <c r="U260" s="92">
        <v>0</v>
      </c>
      <c r="V260" s="100"/>
      <c r="W260" s="100"/>
      <c r="X260" s="100"/>
    </row>
    <row r="261" spans="1:24">
      <c r="A261" s="89">
        <v>23</v>
      </c>
      <c r="B261" s="100"/>
      <c r="C261" s="100"/>
      <c r="D261" s="100"/>
      <c r="E261" s="100"/>
      <c r="F261" s="91">
        <v>1</v>
      </c>
      <c r="G261" s="100"/>
      <c r="H261" s="100"/>
      <c r="I261" s="100"/>
      <c r="J261" s="100"/>
      <c r="K261" s="89">
        <v>0</v>
      </c>
      <c r="L261" s="100"/>
      <c r="M261" s="100"/>
      <c r="N261" s="100"/>
      <c r="O261" s="100"/>
      <c r="P261" s="89">
        <v>5</v>
      </c>
      <c r="Q261" s="100"/>
      <c r="R261" s="100"/>
      <c r="S261" s="100"/>
      <c r="T261" s="100"/>
      <c r="U261" s="92">
        <v>0</v>
      </c>
      <c r="V261" s="100"/>
      <c r="W261" s="100"/>
      <c r="X261" s="100"/>
    </row>
    <row r="262" spans="1:24">
      <c r="A262" s="89">
        <v>23</v>
      </c>
      <c r="B262" s="100"/>
      <c r="C262" s="100"/>
      <c r="D262" s="100"/>
      <c r="E262" s="100"/>
      <c r="F262" s="91">
        <v>2</v>
      </c>
      <c r="G262" s="100"/>
      <c r="H262" s="100"/>
      <c r="I262" s="100"/>
      <c r="J262" s="100"/>
      <c r="K262" s="89">
        <v>0</v>
      </c>
      <c r="L262" s="100"/>
      <c r="M262" s="100"/>
      <c r="N262" s="100"/>
      <c r="O262" s="100"/>
      <c r="P262" s="89">
        <v>9</v>
      </c>
      <c r="Q262" s="100"/>
      <c r="R262" s="100"/>
      <c r="S262" s="100"/>
      <c r="T262" s="100"/>
      <c r="U262" s="92">
        <v>90</v>
      </c>
      <c r="V262" s="100"/>
      <c r="W262" s="100"/>
      <c r="X262" s="100"/>
    </row>
    <row r="263" spans="1:24">
      <c r="A263" s="89">
        <v>23</v>
      </c>
      <c r="B263" s="100"/>
      <c r="C263" s="100"/>
      <c r="D263" s="100"/>
      <c r="E263" s="100"/>
      <c r="F263" s="91">
        <v>0</v>
      </c>
      <c r="G263" s="100"/>
      <c r="H263" s="100"/>
      <c r="I263" s="100"/>
      <c r="J263" s="100"/>
      <c r="K263" s="89">
        <v>0</v>
      </c>
      <c r="L263" s="100"/>
      <c r="M263" s="100"/>
      <c r="N263" s="100"/>
      <c r="O263" s="100"/>
      <c r="P263" s="89">
        <v>3</v>
      </c>
      <c r="Q263" s="100"/>
      <c r="R263" s="100"/>
      <c r="S263" s="100"/>
      <c r="T263" s="100"/>
      <c r="U263" s="92">
        <v>0</v>
      </c>
      <c r="V263" s="100"/>
      <c r="W263" s="100"/>
      <c r="X263" s="100"/>
    </row>
    <row r="264" spans="1:24">
      <c r="A264" s="89">
        <v>23</v>
      </c>
      <c r="B264" s="100"/>
      <c r="C264" s="100"/>
      <c r="D264" s="100"/>
      <c r="E264" s="100"/>
      <c r="F264" s="91">
        <v>0</v>
      </c>
      <c r="G264" s="100"/>
      <c r="H264" s="100"/>
      <c r="I264" s="100"/>
      <c r="J264" s="100"/>
      <c r="K264" s="89">
        <v>0</v>
      </c>
      <c r="L264" s="100"/>
      <c r="M264" s="100"/>
      <c r="N264" s="100"/>
      <c r="O264" s="100"/>
      <c r="P264" s="89">
        <v>4</v>
      </c>
      <c r="Q264" s="100"/>
      <c r="R264" s="100"/>
      <c r="S264" s="100"/>
      <c r="T264" s="100"/>
      <c r="U264" s="92">
        <v>0</v>
      </c>
      <c r="V264" s="100"/>
      <c r="W264" s="100"/>
      <c r="X264" s="100"/>
    </row>
    <row r="265" spans="1:24">
      <c r="A265" s="89">
        <v>23</v>
      </c>
      <c r="B265" s="100"/>
      <c r="C265" s="100"/>
      <c r="D265" s="100"/>
      <c r="E265" s="100"/>
      <c r="F265" s="91">
        <v>1</v>
      </c>
      <c r="G265" s="100"/>
      <c r="H265" s="100"/>
      <c r="I265" s="100"/>
      <c r="J265" s="100"/>
      <c r="K265" s="89">
        <v>0</v>
      </c>
      <c r="L265" s="100"/>
      <c r="M265" s="100"/>
      <c r="N265" s="100"/>
      <c r="O265" s="100"/>
      <c r="P265" s="89">
        <v>2</v>
      </c>
      <c r="Q265" s="100"/>
      <c r="R265" s="100"/>
      <c r="S265" s="100"/>
      <c r="T265" s="100"/>
      <c r="U265" s="92">
        <v>0</v>
      </c>
      <c r="V265" s="100"/>
      <c r="W265" s="100"/>
      <c r="X265" s="100"/>
    </row>
    <row r="266" spans="1:24">
      <c r="A266" s="89">
        <v>23</v>
      </c>
      <c r="B266" s="100"/>
      <c r="C266" s="100"/>
      <c r="D266" s="100"/>
      <c r="E266" s="100"/>
      <c r="F266" s="91">
        <v>0</v>
      </c>
      <c r="G266" s="100"/>
      <c r="H266" s="100"/>
      <c r="I266" s="100"/>
      <c r="J266" s="100"/>
      <c r="K266" s="89">
        <v>5</v>
      </c>
      <c r="L266" s="100"/>
      <c r="M266" s="100"/>
      <c r="N266" s="100"/>
      <c r="O266" s="100"/>
      <c r="P266" s="89">
        <v>4</v>
      </c>
      <c r="Q266" s="100"/>
      <c r="R266" s="100"/>
      <c r="S266" s="100"/>
      <c r="T266" s="100"/>
      <c r="U266" s="92">
        <v>0</v>
      </c>
      <c r="V266" s="100"/>
      <c r="W266" s="100"/>
      <c r="X266" s="100"/>
    </row>
    <row r="267" spans="1:24">
      <c r="A267" s="89">
        <v>23</v>
      </c>
      <c r="B267" s="100"/>
      <c r="C267" s="100"/>
      <c r="D267" s="100"/>
      <c r="E267" s="100"/>
      <c r="F267" s="91">
        <v>1.5</v>
      </c>
      <c r="G267" s="100"/>
      <c r="H267" s="100"/>
      <c r="I267" s="100"/>
      <c r="J267" s="100"/>
      <c r="K267" s="89">
        <v>0</v>
      </c>
      <c r="L267" s="100"/>
      <c r="M267" s="100"/>
      <c r="N267" s="100"/>
      <c r="O267" s="100"/>
      <c r="P267" s="89">
        <v>2</v>
      </c>
      <c r="Q267" s="100"/>
      <c r="R267" s="100"/>
      <c r="S267" s="100"/>
      <c r="T267" s="100"/>
      <c r="U267" s="92">
        <v>15</v>
      </c>
      <c r="V267" s="100"/>
      <c r="W267" s="100"/>
      <c r="X267" s="100"/>
    </row>
    <row r="268" spans="1:24">
      <c r="A268" s="89">
        <v>23</v>
      </c>
      <c r="B268" s="100"/>
      <c r="C268" s="100"/>
      <c r="D268" s="100"/>
      <c r="E268" s="100"/>
      <c r="F268" s="91">
        <v>18</v>
      </c>
      <c r="G268" s="100"/>
      <c r="H268" s="100"/>
      <c r="I268" s="100"/>
      <c r="J268" s="100"/>
      <c r="K268" s="89">
        <v>5</v>
      </c>
      <c r="L268" s="100"/>
      <c r="M268" s="100"/>
      <c r="N268" s="100"/>
      <c r="O268" s="100"/>
      <c r="P268" s="89">
        <v>2</v>
      </c>
      <c r="Q268" s="100"/>
      <c r="R268" s="100"/>
      <c r="S268" s="100"/>
      <c r="T268" s="100"/>
      <c r="U268" s="92">
        <v>99.98</v>
      </c>
      <c r="V268" s="100"/>
      <c r="W268" s="100"/>
      <c r="X268" s="100"/>
    </row>
    <row r="269" spans="1:24">
      <c r="A269" s="89">
        <v>23</v>
      </c>
      <c r="B269" s="100"/>
      <c r="C269" s="100"/>
      <c r="D269" s="100"/>
      <c r="E269" s="100"/>
      <c r="F269" s="91">
        <v>6</v>
      </c>
      <c r="G269" s="100"/>
      <c r="H269" s="100"/>
      <c r="I269" s="100"/>
      <c r="J269" s="100"/>
      <c r="K269" s="89">
        <v>3</v>
      </c>
      <c r="L269" s="100"/>
      <c r="M269" s="100"/>
      <c r="N269" s="100"/>
      <c r="O269" s="100"/>
      <c r="P269" s="89">
        <v>2</v>
      </c>
      <c r="Q269" s="100"/>
      <c r="R269" s="100"/>
      <c r="S269" s="100"/>
      <c r="T269" s="100"/>
      <c r="U269" s="92">
        <v>30</v>
      </c>
      <c r="V269" s="100"/>
      <c r="W269" s="100"/>
      <c r="X269" s="100"/>
    </row>
    <row r="270" spans="1:24">
      <c r="A270" s="89">
        <v>23</v>
      </c>
      <c r="B270" s="100"/>
      <c r="C270" s="100"/>
      <c r="D270" s="100"/>
      <c r="E270" s="100"/>
      <c r="F270" s="91">
        <v>10</v>
      </c>
      <c r="G270" s="100"/>
      <c r="H270" s="100"/>
      <c r="I270" s="100"/>
      <c r="J270" s="100"/>
      <c r="K270" s="89">
        <v>2</v>
      </c>
      <c r="L270" s="100"/>
      <c r="M270" s="100"/>
      <c r="N270" s="100"/>
      <c r="O270" s="100"/>
      <c r="P270" s="89">
        <v>5</v>
      </c>
      <c r="Q270" s="100"/>
      <c r="R270" s="100"/>
      <c r="S270" s="100"/>
      <c r="T270" s="100"/>
      <c r="U270" s="92">
        <v>12</v>
      </c>
      <c r="V270" s="100"/>
      <c r="W270" s="100"/>
      <c r="X270" s="100"/>
    </row>
    <row r="271" spans="1:24">
      <c r="A271" s="89">
        <v>23</v>
      </c>
      <c r="B271" s="100"/>
      <c r="C271" s="100"/>
      <c r="D271" s="100"/>
      <c r="E271" s="100"/>
      <c r="F271" s="91">
        <v>200</v>
      </c>
      <c r="G271" s="100"/>
      <c r="H271" s="100"/>
      <c r="I271" s="100"/>
      <c r="J271" s="100"/>
      <c r="K271" s="89">
        <v>6</v>
      </c>
      <c r="L271" s="100"/>
      <c r="M271" s="100"/>
      <c r="N271" s="100"/>
      <c r="O271" s="100"/>
      <c r="P271" s="89">
        <v>4</v>
      </c>
      <c r="Q271" s="100"/>
      <c r="R271" s="100"/>
      <c r="S271" s="100"/>
      <c r="T271" s="100"/>
      <c r="U271" s="92">
        <v>75</v>
      </c>
      <c r="V271" s="100"/>
      <c r="W271" s="100"/>
      <c r="X271" s="100"/>
    </row>
    <row r="272" spans="1:24">
      <c r="A272" s="89">
        <v>23</v>
      </c>
      <c r="B272" s="100"/>
      <c r="C272" s="100"/>
      <c r="D272" s="100"/>
      <c r="E272" s="100"/>
      <c r="F272" s="91">
        <v>0</v>
      </c>
      <c r="G272" s="100"/>
      <c r="H272" s="100"/>
      <c r="I272" s="100"/>
      <c r="J272" s="100"/>
      <c r="K272" s="89">
        <v>0</v>
      </c>
      <c r="L272" s="100"/>
      <c r="M272" s="100"/>
      <c r="N272" s="100"/>
      <c r="O272" s="100"/>
      <c r="P272" s="89">
        <v>8</v>
      </c>
      <c r="Q272" s="100"/>
      <c r="R272" s="100"/>
      <c r="S272" s="100"/>
      <c r="T272" s="100"/>
      <c r="U272" s="92">
        <v>0</v>
      </c>
      <c r="V272" s="100"/>
      <c r="W272" s="100"/>
      <c r="X272" s="100"/>
    </row>
    <row r="273" spans="1:24">
      <c r="A273" s="89">
        <v>24</v>
      </c>
      <c r="B273" s="100"/>
      <c r="C273" s="100"/>
      <c r="D273" s="100"/>
      <c r="E273" s="100"/>
      <c r="F273" s="91">
        <v>7</v>
      </c>
      <c r="G273" s="100"/>
      <c r="H273" s="100"/>
      <c r="I273" s="100"/>
      <c r="J273" s="100"/>
      <c r="K273" s="89">
        <v>1</v>
      </c>
      <c r="L273" s="100"/>
      <c r="M273" s="100"/>
      <c r="N273" s="100"/>
      <c r="O273" s="100"/>
      <c r="P273" s="89">
        <v>8</v>
      </c>
      <c r="Q273" s="100"/>
      <c r="R273" s="100"/>
      <c r="S273" s="100"/>
      <c r="T273" s="100"/>
      <c r="U273" s="92">
        <v>80</v>
      </c>
      <c r="V273" s="100"/>
      <c r="W273" s="100"/>
      <c r="X273" s="100"/>
    </row>
    <row r="274" spans="1:24">
      <c r="A274" s="89">
        <v>24</v>
      </c>
      <c r="B274" s="100"/>
      <c r="C274" s="100"/>
      <c r="D274" s="100"/>
      <c r="E274" s="100"/>
      <c r="F274" s="91">
        <v>5</v>
      </c>
      <c r="G274" s="100"/>
      <c r="H274" s="100"/>
      <c r="I274" s="100"/>
      <c r="J274" s="100"/>
      <c r="K274" s="89">
        <v>0</v>
      </c>
      <c r="L274" s="100"/>
      <c r="M274" s="100"/>
      <c r="N274" s="100"/>
      <c r="O274" s="100"/>
      <c r="P274" s="89">
        <v>10</v>
      </c>
      <c r="Q274" s="100"/>
      <c r="R274" s="100"/>
      <c r="S274" s="100"/>
      <c r="T274" s="100"/>
      <c r="U274" s="92">
        <v>25</v>
      </c>
      <c r="V274" s="100"/>
      <c r="W274" s="100"/>
      <c r="X274" s="100"/>
    </row>
    <row r="275" spans="1:24">
      <c r="A275" s="89">
        <v>24</v>
      </c>
      <c r="B275" s="100"/>
      <c r="C275" s="100"/>
      <c r="D275" s="100"/>
      <c r="E275" s="100"/>
      <c r="F275" s="91">
        <v>0</v>
      </c>
      <c r="G275" s="100"/>
      <c r="H275" s="100"/>
      <c r="I275" s="100"/>
      <c r="J275" s="100"/>
      <c r="K275" s="89">
        <v>0</v>
      </c>
      <c r="L275" s="100"/>
      <c r="M275" s="100"/>
      <c r="N275" s="100"/>
      <c r="O275" s="100"/>
      <c r="P275" s="89">
        <v>6</v>
      </c>
      <c r="Q275" s="100"/>
      <c r="R275" s="100"/>
      <c r="S275" s="100"/>
      <c r="T275" s="100"/>
      <c r="U275" s="92">
        <v>14.99</v>
      </c>
      <c r="V275" s="100"/>
      <c r="W275" s="100"/>
      <c r="X275" s="100"/>
    </row>
    <row r="276" spans="1:24">
      <c r="A276" s="89">
        <v>24</v>
      </c>
      <c r="B276" s="100"/>
      <c r="C276" s="100"/>
      <c r="D276" s="100"/>
      <c r="E276" s="100"/>
      <c r="F276" s="91">
        <v>5.5</v>
      </c>
      <c r="G276" s="100"/>
      <c r="H276" s="100"/>
      <c r="I276" s="100"/>
      <c r="J276" s="100"/>
      <c r="K276" s="89">
        <v>1</v>
      </c>
      <c r="L276" s="100"/>
      <c r="M276" s="100"/>
      <c r="N276" s="100"/>
      <c r="O276" s="100"/>
      <c r="P276" s="89">
        <v>1</v>
      </c>
      <c r="Q276" s="100"/>
      <c r="R276" s="100"/>
      <c r="S276" s="100"/>
      <c r="T276" s="100"/>
      <c r="U276" s="92">
        <v>100.5</v>
      </c>
      <c r="V276" s="100"/>
      <c r="W276" s="100"/>
      <c r="X276" s="100"/>
    </row>
    <row r="277" spans="1:24">
      <c r="A277" s="89">
        <v>24</v>
      </c>
      <c r="B277" s="100"/>
      <c r="C277" s="100"/>
      <c r="D277" s="100"/>
      <c r="E277" s="100"/>
      <c r="F277" s="91">
        <v>7.5</v>
      </c>
      <c r="G277" s="100"/>
      <c r="H277" s="100"/>
      <c r="I277" s="100"/>
      <c r="J277" s="100"/>
      <c r="K277" s="89">
        <v>1</v>
      </c>
      <c r="L277" s="100"/>
      <c r="M277" s="100"/>
      <c r="N277" s="100"/>
      <c r="O277" s="100"/>
      <c r="P277" s="89">
        <v>3</v>
      </c>
      <c r="Q277" s="100"/>
      <c r="R277" s="100"/>
      <c r="S277" s="100"/>
      <c r="T277" s="100"/>
      <c r="U277" s="92">
        <v>13.99</v>
      </c>
      <c r="V277" s="100"/>
      <c r="W277" s="100"/>
      <c r="X277" s="100"/>
    </row>
    <row r="278" spans="1:24">
      <c r="A278" s="89">
        <v>24</v>
      </c>
      <c r="B278" s="100"/>
      <c r="C278" s="100"/>
      <c r="D278" s="100"/>
      <c r="E278" s="100"/>
      <c r="F278" s="91">
        <v>2</v>
      </c>
      <c r="G278" s="100"/>
      <c r="H278" s="100"/>
      <c r="I278" s="100"/>
      <c r="J278" s="100"/>
      <c r="K278" s="89">
        <v>2</v>
      </c>
      <c r="L278" s="100"/>
      <c r="M278" s="100"/>
      <c r="N278" s="100"/>
      <c r="O278" s="100"/>
      <c r="P278" s="89">
        <v>2</v>
      </c>
      <c r="Q278" s="100"/>
      <c r="R278" s="100"/>
      <c r="S278" s="100"/>
      <c r="T278" s="100"/>
      <c r="U278" s="92">
        <v>10.99</v>
      </c>
      <c r="V278" s="100"/>
      <c r="W278" s="100"/>
      <c r="X278" s="100"/>
    </row>
    <row r="279" spans="1:24">
      <c r="A279" s="89">
        <v>24</v>
      </c>
      <c r="B279" s="100"/>
      <c r="C279" s="100"/>
      <c r="D279" s="100"/>
      <c r="E279" s="100"/>
      <c r="F279" s="91">
        <v>15.5</v>
      </c>
      <c r="G279" s="100"/>
      <c r="H279" s="100"/>
      <c r="I279" s="100"/>
      <c r="J279" s="100"/>
      <c r="K279" s="89">
        <v>1</v>
      </c>
      <c r="L279" s="100"/>
      <c r="M279" s="100"/>
      <c r="N279" s="100"/>
      <c r="O279" s="100"/>
      <c r="P279" s="89">
        <v>2</v>
      </c>
      <c r="Q279" s="100"/>
      <c r="R279" s="100"/>
      <c r="S279" s="100"/>
      <c r="T279" s="100"/>
      <c r="U279" s="92">
        <v>20.5</v>
      </c>
      <c r="V279" s="100"/>
      <c r="W279" s="100"/>
      <c r="X279" s="100"/>
    </row>
    <row r="280" spans="1:24">
      <c r="A280" s="89">
        <v>24</v>
      </c>
      <c r="B280" s="100"/>
      <c r="C280" s="100"/>
      <c r="D280" s="100"/>
      <c r="E280" s="100"/>
      <c r="F280" s="91">
        <v>14.75</v>
      </c>
      <c r="G280" s="100"/>
      <c r="H280" s="100"/>
      <c r="I280" s="100"/>
      <c r="J280" s="100"/>
      <c r="K280" s="89">
        <v>1</v>
      </c>
      <c r="L280" s="100"/>
      <c r="M280" s="100"/>
      <c r="N280" s="100"/>
      <c r="O280" s="100"/>
      <c r="P280" s="89">
        <v>4</v>
      </c>
      <c r="Q280" s="100"/>
      <c r="R280" s="100"/>
      <c r="S280" s="100"/>
      <c r="T280" s="100"/>
      <c r="U280" s="92">
        <v>250.9</v>
      </c>
      <c r="V280" s="100"/>
      <c r="W280" s="100"/>
      <c r="X280" s="100"/>
    </row>
    <row r="281" spans="1:24">
      <c r="A281" s="89">
        <v>24</v>
      </c>
      <c r="B281" s="100"/>
      <c r="C281" s="100"/>
      <c r="D281" s="100"/>
      <c r="E281" s="100"/>
      <c r="F281" s="91">
        <v>1</v>
      </c>
      <c r="G281" s="100"/>
      <c r="H281" s="100"/>
      <c r="I281" s="100"/>
      <c r="J281" s="100"/>
      <c r="K281" s="89">
        <v>0</v>
      </c>
      <c r="L281" s="100"/>
      <c r="M281" s="100"/>
      <c r="N281" s="100"/>
      <c r="O281" s="100"/>
      <c r="P281" s="89">
        <v>0</v>
      </c>
      <c r="Q281" s="100"/>
      <c r="R281" s="100"/>
      <c r="S281" s="100"/>
      <c r="T281" s="100"/>
      <c r="U281" s="92">
        <v>15.99</v>
      </c>
      <c r="V281" s="100"/>
      <c r="W281" s="100"/>
      <c r="X281" s="100"/>
    </row>
    <row r="282" spans="1:24">
      <c r="A282" s="89">
        <v>24</v>
      </c>
      <c r="B282" s="100"/>
      <c r="C282" s="100"/>
      <c r="D282" s="100"/>
      <c r="E282" s="100"/>
      <c r="F282" s="91">
        <v>1</v>
      </c>
      <c r="G282" s="100"/>
      <c r="H282" s="100"/>
      <c r="I282" s="100"/>
      <c r="J282" s="100"/>
      <c r="K282" s="89">
        <v>0</v>
      </c>
      <c r="L282" s="100"/>
      <c r="M282" s="100"/>
      <c r="N282" s="100"/>
      <c r="O282" s="100"/>
      <c r="P282" s="89">
        <v>1</v>
      </c>
      <c r="Q282" s="100"/>
      <c r="R282" s="100"/>
      <c r="S282" s="100"/>
      <c r="T282" s="100"/>
      <c r="U282" s="92">
        <v>200.6</v>
      </c>
      <c r="V282" s="100"/>
      <c r="W282" s="100"/>
      <c r="X282" s="100"/>
    </row>
    <row r="283" spans="1:24">
      <c r="A283" s="89">
        <v>24</v>
      </c>
      <c r="B283" s="100"/>
      <c r="C283" s="100"/>
      <c r="D283" s="100"/>
      <c r="E283" s="100"/>
      <c r="F283" s="91">
        <v>96</v>
      </c>
      <c r="G283" s="100"/>
      <c r="H283" s="100"/>
      <c r="I283" s="100"/>
      <c r="J283" s="100"/>
      <c r="K283" s="89">
        <v>2</v>
      </c>
      <c r="L283" s="100"/>
      <c r="M283" s="100"/>
      <c r="N283" s="100"/>
      <c r="O283" s="100"/>
      <c r="P283" s="89">
        <v>9</v>
      </c>
      <c r="Q283" s="100"/>
      <c r="R283" s="100"/>
      <c r="S283" s="100"/>
      <c r="T283" s="100"/>
      <c r="U283" s="92">
        <v>80</v>
      </c>
      <c r="V283" s="100"/>
      <c r="W283" s="100"/>
      <c r="X283" s="100"/>
    </row>
    <row r="284" spans="1:24">
      <c r="A284" s="89">
        <v>24</v>
      </c>
      <c r="B284" s="100"/>
      <c r="C284" s="100"/>
      <c r="D284" s="100"/>
      <c r="E284" s="100"/>
      <c r="F284" s="91">
        <v>7.5</v>
      </c>
      <c r="G284" s="100"/>
      <c r="H284" s="100"/>
      <c r="I284" s="100"/>
      <c r="J284" s="100"/>
      <c r="K284" s="89">
        <v>1</v>
      </c>
      <c r="L284" s="100"/>
      <c r="M284" s="100"/>
      <c r="N284" s="100"/>
      <c r="O284" s="100"/>
      <c r="P284" s="89">
        <v>3</v>
      </c>
      <c r="Q284" s="100"/>
      <c r="R284" s="100"/>
      <c r="S284" s="100"/>
      <c r="T284" s="100"/>
      <c r="U284" s="92">
        <v>25.8</v>
      </c>
      <c r="V284" s="100"/>
      <c r="W284" s="100"/>
      <c r="X284" s="100"/>
    </row>
    <row r="285" spans="1:24">
      <c r="A285" s="89">
        <v>24</v>
      </c>
      <c r="B285" s="100"/>
      <c r="C285" s="100"/>
      <c r="D285" s="100"/>
      <c r="E285" s="100"/>
      <c r="F285" s="91">
        <v>7</v>
      </c>
      <c r="G285" s="100"/>
      <c r="H285" s="100"/>
      <c r="I285" s="100"/>
      <c r="J285" s="100"/>
      <c r="K285" s="89">
        <v>3</v>
      </c>
      <c r="L285" s="100"/>
      <c r="M285" s="100"/>
      <c r="N285" s="100"/>
      <c r="O285" s="100"/>
      <c r="P285" s="89">
        <v>12</v>
      </c>
      <c r="Q285" s="100"/>
      <c r="R285" s="100"/>
      <c r="S285" s="100"/>
      <c r="T285" s="100"/>
      <c r="U285" s="92">
        <v>15</v>
      </c>
      <c r="V285" s="100"/>
      <c r="W285" s="100"/>
      <c r="X285" s="100"/>
    </row>
    <row r="286" spans="1:24">
      <c r="A286" s="89">
        <v>24</v>
      </c>
      <c r="B286" s="100"/>
      <c r="C286" s="100"/>
      <c r="D286" s="100"/>
      <c r="E286" s="100"/>
      <c r="F286" s="91">
        <v>4</v>
      </c>
      <c r="G286" s="100"/>
      <c r="H286" s="100"/>
      <c r="I286" s="100"/>
      <c r="J286" s="100"/>
      <c r="K286" s="89">
        <v>0</v>
      </c>
      <c r="L286" s="100"/>
      <c r="M286" s="100"/>
      <c r="N286" s="100"/>
      <c r="O286" s="100"/>
      <c r="P286" s="89">
        <v>3</v>
      </c>
      <c r="Q286" s="100"/>
      <c r="R286" s="100"/>
      <c r="S286" s="100"/>
      <c r="T286" s="100"/>
      <c r="U286" s="92">
        <v>25</v>
      </c>
      <c r="V286" s="100"/>
      <c r="W286" s="100"/>
      <c r="X286" s="100"/>
    </row>
    <row r="287" spans="1:24">
      <c r="A287" s="89">
        <v>24</v>
      </c>
      <c r="B287" s="100"/>
      <c r="C287" s="100"/>
      <c r="D287" s="100"/>
      <c r="E287" s="100"/>
      <c r="F287" s="91">
        <v>10</v>
      </c>
      <c r="G287" s="100"/>
      <c r="H287" s="100"/>
      <c r="I287" s="100"/>
      <c r="J287" s="100"/>
      <c r="K287" s="89">
        <v>0</v>
      </c>
      <c r="L287" s="100"/>
      <c r="M287" s="100"/>
      <c r="N287" s="100"/>
      <c r="O287" s="100"/>
      <c r="P287" s="89">
        <v>10</v>
      </c>
      <c r="Q287" s="100"/>
      <c r="R287" s="100"/>
      <c r="S287" s="100"/>
      <c r="T287" s="100"/>
      <c r="U287" s="92">
        <v>20</v>
      </c>
      <c r="V287" s="100"/>
      <c r="W287" s="100"/>
      <c r="X287" s="100"/>
    </row>
    <row r="288" spans="1:24">
      <c r="A288" s="89">
        <v>24</v>
      </c>
      <c r="B288" s="100"/>
      <c r="C288" s="100"/>
      <c r="D288" s="100"/>
      <c r="E288" s="100"/>
      <c r="F288" s="91">
        <v>2</v>
      </c>
      <c r="G288" s="100"/>
      <c r="H288" s="100"/>
      <c r="I288" s="100"/>
      <c r="J288" s="100"/>
      <c r="K288" s="89">
        <v>0</v>
      </c>
      <c r="L288" s="100"/>
      <c r="M288" s="100"/>
      <c r="N288" s="100"/>
      <c r="O288" s="100"/>
      <c r="P288" s="89">
        <v>2</v>
      </c>
      <c r="Q288" s="100"/>
      <c r="R288" s="100"/>
      <c r="S288" s="100"/>
      <c r="T288" s="100"/>
      <c r="U288" s="92">
        <v>10</v>
      </c>
      <c r="V288" s="100"/>
      <c r="W288" s="100"/>
      <c r="X288" s="100"/>
    </row>
    <row r="289" spans="1:24">
      <c r="A289" s="89">
        <v>24</v>
      </c>
      <c r="B289" s="100"/>
      <c r="C289" s="100"/>
      <c r="D289" s="100"/>
      <c r="E289" s="100"/>
      <c r="F289" s="91">
        <v>5</v>
      </c>
      <c r="G289" s="100"/>
      <c r="H289" s="100"/>
      <c r="I289" s="100"/>
      <c r="J289" s="100"/>
      <c r="K289" s="89">
        <v>2</v>
      </c>
      <c r="L289" s="100"/>
      <c r="M289" s="100"/>
      <c r="N289" s="100"/>
      <c r="O289" s="100"/>
      <c r="P289" s="89">
        <v>4</v>
      </c>
      <c r="Q289" s="100"/>
      <c r="R289" s="100"/>
      <c r="S289" s="100"/>
      <c r="T289" s="100"/>
      <c r="U289" s="92">
        <v>30</v>
      </c>
      <c r="V289" s="100"/>
      <c r="W289" s="100"/>
      <c r="X289" s="100"/>
    </row>
    <row r="290" spans="1:24">
      <c r="A290" s="89">
        <v>24</v>
      </c>
      <c r="B290" s="100"/>
      <c r="C290" s="100"/>
      <c r="D290" s="100"/>
      <c r="E290" s="100"/>
      <c r="F290" s="91">
        <v>6</v>
      </c>
      <c r="G290" s="100"/>
      <c r="H290" s="100"/>
      <c r="I290" s="100"/>
      <c r="J290" s="100"/>
      <c r="K290" s="89">
        <v>1</v>
      </c>
      <c r="L290" s="100"/>
      <c r="M290" s="100"/>
      <c r="N290" s="100"/>
      <c r="O290" s="100"/>
      <c r="P290" s="89">
        <v>4</v>
      </c>
      <c r="Q290" s="100"/>
      <c r="R290" s="100"/>
      <c r="S290" s="100"/>
      <c r="T290" s="100"/>
      <c r="U290" s="92">
        <v>30</v>
      </c>
      <c r="V290" s="100"/>
      <c r="W290" s="100"/>
      <c r="X290" s="100"/>
    </row>
    <row r="291" spans="1:24">
      <c r="A291" s="89">
        <v>24</v>
      </c>
      <c r="B291" s="100"/>
      <c r="C291" s="100"/>
      <c r="D291" s="100"/>
      <c r="E291" s="100"/>
      <c r="F291" s="91">
        <v>5</v>
      </c>
      <c r="G291" s="100"/>
      <c r="H291" s="100"/>
      <c r="I291" s="100"/>
      <c r="J291" s="100"/>
      <c r="K291" s="89">
        <v>1</v>
      </c>
      <c r="L291" s="100"/>
      <c r="M291" s="100"/>
      <c r="N291" s="100"/>
      <c r="O291" s="100"/>
      <c r="P291" s="89">
        <v>3</v>
      </c>
      <c r="Q291" s="100"/>
      <c r="R291" s="100"/>
      <c r="S291" s="100"/>
      <c r="T291" s="100"/>
      <c r="U291" s="92">
        <v>30</v>
      </c>
      <c r="V291" s="100"/>
      <c r="W291" s="100"/>
      <c r="X291" s="100"/>
    </row>
    <row r="292" spans="1:24">
      <c r="A292" s="89">
        <v>24</v>
      </c>
      <c r="B292" s="100"/>
      <c r="C292" s="100"/>
      <c r="D292" s="100"/>
      <c r="E292" s="100"/>
      <c r="F292" s="91">
        <v>5</v>
      </c>
      <c r="G292" s="100"/>
      <c r="H292" s="100"/>
      <c r="I292" s="100"/>
      <c r="J292" s="100"/>
      <c r="K292" s="89">
        <v>1</v>
      </c>
      <c r="L292" s="100"/>
      <c r="M292" s="100"/>
      <c r="N292" s="100"/>
      <c r="O292" s="100"/>
      <c r="P292" s="89">
        <v>4</v>
      </c>
      <c r="Q292" s="100"/>
      <c r="R292" s="100"/>
      <c r="S292" s="100"/>
      <c r="T292" s="100"/>
      <c r="U292" s="92">
        <v>30</v>
      </c>
      <c r="V292" s="100"/>
      <c r="W292" s="100"/>
      <c r="X292" s="100"/>
    </row>
    <row r="293" spans="1:24">
      <c r="A293" s="89">
        <v>24</v>
      </c>
      <c r="B293" s="100"/>
      <c r="C293" s="100"/>
      <c r="D293" s="100"/>
      <c r="E293" s="100"/>
      <c r="F293" s="91">
        <v>6</v>
      </c>
      <c r="G293" s="100"/>
      <c r="H293" s="100"/>
      <c r="I293" s="100"/>
      <c r="J293" s="100"/>
      <c r="K293" s="89">
        <v>2</v>
      </c>
      <c r="L293" s="100"/>
      <c r="M293" s="100"/>
      <c r="N293" s="100"/>
      <c r="O293" s="100"/>
      <c r="P293" s="89">
        <v>3</v>
      </c>
      <c r="Q293" s="100"/>
      <c r="R293" s="100"/>
      <c r="S293" s="100"/>
      <c r="T293" s="100"/>
      <c r="U293" s="92">
        <v>25</v>
      </c>
      <c r="V293" s="100"/>
      <c r="W293" s="100"/>
      <c r="X293" s="100"/>
    </row>
    <row r="294" spans="1:24">
      <c r="A294" s="89">
        <v>24</v>
      </c>
      <c r="B294" s="100"/>
      <c r="C294" s="100"/>
      <c r="D294" s="100"/>
      <c r="E294" s="100"/>
      <c r="F294" s="91">
        <v>3</v>
      </c>
      <c r="G294" s="100"/>
      <c r="H294" s="100"/>
      <c r="I294" s="100"/>
      <c r="J294" s="100"/>
      <c r="K294" s="89">
        <v>1</v>
      </c>
      <c r="L294" s="100"/>
      <c r="M294" s="100"/>
      <c r="N294" s="100"/>
      <c r="O294" s="100"/>
      <c r="P294" s="89">
        <v>0</v>
      </c>
      <c r="Q294" s="100"/>
      <c r="R294" s="100"/>
      <c r="S294" s="100"/>
      <c r="T294" s="100"/>
      <c r="U294" s="92">
        <v>0</v>
      </c>
      <c r="V294" s="100"/>
      <c r="W294" s="100"/>
      <c r="X294" s="100"/>
    </row>
    <row r="295" spans="1:24">
      <c r="A295" s="89">
        <v>24</v>
      </c>
      <c r="B295" s="100"/>
      <c r="C295" s="100"/>
      <c r="D295" s="100"/>
      <c r="E295" s="100"/>
      <c r="F295" s="91">
        <v>3</v>
      </c>
      <c r="G295" s="100"/>
      <c r="H295" s="100"/>
      <c r="I295" s="100"/>
      <c r="J295" s="100"/>
      <c r="K295" s="89">
        <v>1</v>
      </c>
      <c r="L295" s="100"/>
      <c r="M295" s="100"/>
      <c r="N295" s="100"/>
      <c r="O295" s="100"/>
      <c r="P295" s="89">
        <v>3</v>
      </c>
      <c r="Q295" s="100"/>
      <c r="R295" s="100"/>
      <c r="S295" s="100"/>
      <c r="T295" s="100"/>
      <c r="U295" s="92">
        <v>20</v>
      </c>
      <c r="V295" s="100"/>
      <c r="W295" s="100"/>
      <c r="X295" s="100"/>
    </row>
    <row r="296" spans="1:24">
      <c r="A296" s="89">
        <v>24</v>
      </c>
      <c r="B296" s="100"/>
      <c r="C296" s="100"/>
      <c r="D296" s="100"/>
      <c r="E296" s="100"/>
      <c r="F296" s="91">
        <v>0</v>
      </c>
      <c r="G296" s="100"/>
      <c r="H296" s="100"/>
      <c r="I296" s="100"/>
      <c r="J296" s="100"/>
      <c r="K296" s="89">
        <v>0</v>
      </c>
      <c r="L296" s="100"/>
      <c r="M296" s="100"/>
      <c r="N296" s="100"/>
      <c r="O296" s="100"/>
      <c r="P296" s="89">
        <v>5</v>
      </c>
      <c r="Q296" s="100"/>
      <c r="R296" s="100"/>
      <c r="S296" s="100"/>
      <c r="T296" s="100"/>
      <c r="U296" s="92">
        <v>25</v>
      </c>
      <c r="V296" s="100"/>
      <c r="W296" s="100"/>
      <c r="X296" s="100"/>
    </row>
    <row r="297" spans="1:24">
      <c r="A297" s="89">
        <v>24</v>
      </c>
      <c r="B297" s="100"/>
      <c r="C297" s="100"/>
      <c r="D297" s="100"/>
      <c r="E297" s="100"/>
      <c r="F297" s="91">
        <v>1.3</v>
      </c>
      <c r="G297" s="100"/>
      <c r="H297" s="100"/>
      <c r="I297" s="100"/>
      <c r="J297" s="100"/>
      <c r="K297" s="89">
        <v>0</v>
      </c>
      <c r="L297" s="100"/>
      <c r="M297" s="100"/>
      <c r="N297" s="100"/>
      <c r="O297" s="100"/>
      <c r="P297" s="89">
        <v>1</v>
      </c>
      <c r="Q297" s="100"/>
      <c r="R297" s="100"/>
      <c r="S297" s="100"/>
      <c r="T297" s="100"/>
      <c r="U297" s="92">
        <v>12</v>
      </c>
      <c r="V297" s="100"/>
      <c r="W297" s="100"/>
      <c r="X297" s="100"/>
    </row>
    <row r="298" spans="1:24">
      <c r="A298" s="89">
        <v>24</v>
      </c>
      <c r="B298" s="100"/>
      <c r="C298" s="100"/>
      <c r="D298" s="100"/>
      <c r="E298" s="100"/>
      <c r="F298" s="91">
        <v>7</v>
      </c>
      <c r="G298" s="100"/>
      <c r="H298" s="100"/>
      <c r="I298" s="100"/>
      <c r="J298" s="100"/>
      <c r="K298" s="89">
        <v>2</v>
      </c>
      <c r="L298" s="100"/>
      <c r="M298" s="100"/>
      <c r="N298" s="100"/>
      <c r="O298" s="100"/>
      <c r="P298" s="89">
        <v>4</v>
      </c>
      <c r="Q298" s="100"/>
      <c r="R298" s="100"/>
      <c r="S298" s="100"/>
      <c r="T298" s="100"/>
      <c r="U298" s="92">
        <v>300</v>
      </c>
      <c r="V298" s="100"/>
      <c r="W298" s="100"/>
      <c r="X298" s="100"/>
    </row>
    <row r="299" spans="1:24">
      <c r="A299" s="89">
        <v>24</v>
      </c>
      <c r="B299" s="100"/>
      <c r="C299" s="100"/>
      <c r="D299" s="100"/>
      <c r="E299" s="100"/>
      <c r="F299" s="91">
        <v>3</v>
      </c>
      <c r="G299" s="100"/>
      <c r="H299" s="100"/>
      <c r="I299" s="100"/>
      <c r="J299" s="100"/>
      <c r="K299" s="89">
        <v>1</v>
      </c>
      <c r="L299" s="100"/>
      <c r="M299" s="100"/>
      <c r="N299" s="100"/>
      <c r="O299" s="100"/>
      <c r="P299" s="89">
        <v>2</v>
      </c>
      <c r="Q299" s="100"/>
      <c r="R299" s="100"/>
      <c r="S299" s="100"/>
      <c r="T299" s="100"/>
      <c r="U299" s="92">
        <v>20</v>
      </c>
      <c r="V299" s="100"/>
      <c r="W299" s="100"/>
      <c r="X299" s="100"/>
    </row>
    <row r="300" spans="1:24">
      <c r="A300" s="89">
        <v>24</v>
      </c>
      <c r="B300" s="100"/>
      <c r="C300" s="100"/>
      <c r="D300" s="100"/>
      <c r="E300" s="100"/>
      <c r="F300" s="91">
        <v>0</v>
      </c>
      <c r="G300" s="100"/>
      <c r="H300" s="100"/>
      <c r="I300" s="100"/>
      <c r="J300" s="100"/>
      <c r="K300" s="89">
        <v>0</v>
      </c>
      <c r="L300" s="100"/>
      <c r="M300" s="100"/>
      <c r="N300" s="100"/>
      <c r="O300" s="100"/>
      <c r="P300" s="89">
        <v>1</v>
      </c>
      <c r="Q300" s="100"/>
      <c r="R300" s="100"/>
      <c r="S300" s="100"/>
      <c r="T300" s="100"/>
      <c r="U300" s="92">
        <v>0</v>
      </c>
      <c r="V300" s="100"/>
      <c r="W300" s="100"/>
      <c r="X300" s="100"/>
    </row>
    <row r="301" spans="1:24">
      <c r="A301" s="89">
        <v>24</v>
      </c>
      <c r="B301" s="100"/>
      <c r="C301" s="100"/>
      <c r="D301" s="100"/>
      <c r="E301" s="100"/>
      <c r="F301" s="91">
        <v>8</v>
      </c>
      <c r="G301" s="100"/>
      <c r="H301" s="100"/>
      <c r="I301" s="100"/>
      <c r="J301" s="100"/>
      <c r="K301" s="89">
        <v>3</v>
      </c>
      <c r="L301" s="100"/>
      <c r="M301" s="100"/>
      <c r="N301" s="100"/>
      <c r="O301" s="100"/>
      <c r="P301" s="89">
        <v>5</v>
      </c>
      <c r="Q301" s="100"/>
      <c r="R301" s="100"/>
      <c r="S301" s="100"/>
      <c r="T301" s="100"/>
      <c r="U301" s="92">
        <v>400</v>
      </c>
      <c r="V301" s="100"/>
      <c r="W301" s="100"/>
      <c r="X301" s="100"/>
    </row>
    <row r="302" spans="1:24">
      <c r="A302" s="89">
        <v>24</v>
      </c>
      <c r="B302" s="100"/>
      <c r="C302" s="100"/>
      <c r="D302" s="100"/>
      <c r="E302" s="100"/>
      <c r="F302" s="91">
        <v>0</v>
      </c>
      <c r="G302" s="100"/>
      <c r="H302" s="100"/>
      <c r="I302" s="100"/>
      <c r="J302" s="100"/>
      <c r="K302" s="89">
        <v>0</v>
      </c>
      <c r="L302" s="100"/>
      <c r="M302" s="100"/>
      <c r="N302" s="100"/>
      <c r="O302" s="100"/>
      <c r="P302" s="89">
        <v>2</v>
      </c>
      <c r="Q302" s="100"/>
      <c r="R302" s="100"/>
      <c r="S302" s="100"/>
      <c r="T302" s="100"/>
      <c r="U302" s="92">
        <v>0</v>
      </c>
      <c r="V302" s="100"/>
      <c r="W302" s="100"/>
      <c r="X302" s="100"/>
    </row>
    <row r="303" spans="1:24">
      <c r="A303" s="89">
        <v>24</v>
      </c>
      <c r="B303" s="100"/>
      <c r="C303" s="100"/>
      <c r="D303" s="100"/>
      <c r="E303" s="100"/>
      <c r="F303" s="91">
        <v>1</v>
      </c>
      <c r="G303" s="100"/>
      <c r="H303" s="100"/>
      <c r="I303" s="100"/>
      <c r="J303" s="100"/>
      <c r="K303" s="89">
        <v>0</v>
      </c>
      <c r="L303" s="100"/>
      <c r="M303" s="100"/>
      <c r="N303" s="100"/>
      <c r="O303" s="100"/>
      <c r="P303" s="89">
        <v>5</v>
      </c>
      <c r="Q303" s="100"/>
      <c r="R303" s="100"/>
      <c r="S303" s="100"/>
      <c r="T303" s="100"/>
      <c r="U303" s="92">
        <v>0</v>
      </c>
      <c r="V303" s="100"/>
      <c r="W303" s="100"/>
      <c r="X303" s="100"/>
    </row>
    <row r="304" spans="1:24">
      <c r="A304" s="89">
        <v>24</v>
      </c>
      <c r="B304" s="100"/>
      <c r="C304" s="100"/>
      <c r="D304" s="100"/>
      <c r="E304" s="100"/>
      <c r="F304" s="91">
        <v>1</v>
      </c>
      <c r="G304" s="100"/>
      <c r="H304" s="100"/>
      <c r="I304" s="100"/>
      <c r="J304" s="100"/>
      <c r="K304" s="89">
        <v>0</v>
      </c>
      <c r="L304" s="100"/>
      <c r="M304" s="100"/>
      <c r="N304" s="100"/>
      <c r="O304" s="100"/>
      <c r="P304" s="89">
        <v>7</v>
      </c>
      <c r="Q304" s="100"/>
      <c r="R304" s="100"/>
      <c r="S304" s="100"/>
      <c r="T304" s="100"/>
      <c r="U304" s="92">
        <v>0</v>
      </c>
      <c r="V304" s="100"/>
      <c r="W304" s="100"/>
      <c r="X304" s="100"/>
    </row>
    <row r="305" spans="1:24">
      <c r="A305" s="89">
        <v>24</v>
      </c>
      <c r="B305" s="100"/>
      <c r="C305" s="100"/>
      <c r="D305" s="100"/>
      <c r="E305" s="100"/>
      <c r="F305" s="91">
        <v>1</v>
      </c>
      <c r="G305" s="100"/>
      <c r="H305" s="100"/>
      <c r="I305" s="100"/>
      <c r="J305" s="100"/>
      <c r="K305" s="89">
        <v>0</v>
      </c>
      <c r="L305" s="100"/>
      <c r="M305" s="100"/>
      <c r="N305" s="100"/>
      <c r="O305" s="100"/>
      <c r="P305" s="89">
        <v>5</v>
      </c>
      <c r="Q305" s="100"/>
      <c r="R305" s="100"/>
      <c r="S305" s="100"/>
      <c r="T305" s="100"/>
      <c r="U305" s="92">
        <v>0</v>
      </c>
      <c r="V305" s="100"/>
      <c r="W305" s="100"/>
      <c r="X305" s="100"/>
    </row>
    <row r="306" spans="1:24">
      <c r="A306" s="89">
        <v>24</v>
      </c>
      <c r="B306" s="100"/>
      <c r="C306" s="100"/>
      <c r="D306" s="100"/>
      <c r="E306" s="100"/>
      <c r="F306" s="91">
        <v>0</v>
      </c>
      <c r="G306" s="100"/>
      <c r="H306" s="100"/>
      <c r="I306" s="100"/>
      <c r="J306" s="100"/>
      <c r="K306" s="89">
        <v>0</v>
      </c>
      <c r="L306" s="100"/>
      <c r="M306" s="100"/>
      <c r="N306" s="100"/>
      <c r="O306" s="100"/>
      <c r="P306" s="89">
        <v>4</v>
      </c>
      <c r="Q306" s="100"/>
      <c r="R306" s="100"/>
      <c r="S306" s="100"/>
      <c r="T306" s="100"/>
      <c r="U306" s="92">
        <v>0</v>
      </c>
      <c r="V306" s="100"/>
      <c r="W306" s="100"/>
      <c r="X306" s="100"/>
    </row>
    <row r="307" spans="1:24">
      <c r="A307" s="89">
        <v>24</v>
      </c>
      <c r="B307" s="100"/>
      <c r="C307" s="100"/>
      <c r="D307" s="100"/>
      <c r="E307" s="100"/>
      <c r="F307" s="91">
        <v>0</v>
      </c>
      <c r="G307" s="100"/>
      <c r="H307" s="100"/>
      <c r="I307" s="100"/>
      <c r="J307" s="100"/>
      <c r="K307" s="89">
        <v>0</v>
      </c>
      <c r="L307" s="100"/>
      <c r="M307" s="100"/>
      <c r="N307" s="100"/>
      <c r="O307" s="100"/>
      <c r="P307" s="89">
        <v>5</v>
      </c>
      <c r="Q307" s="100"/>
      <c r="R307" s="100"/>
      <c r="S307" s="100"/>
      <c r="T307" s="100"/>
      <c r="U307" s="92">
        <v>0</v>
      </c>
      <c r="V307" s="100"/>
      <c r="W307" s="100"/>
      <c r="X307" s="100"/>
    </row>
    <row r="308" spans="1:24">
      <c r="A308" s="89">
        <v>24</v>
      </c>
      <c r="B308" s="100"/>
      <c r="C308" s="100"/>
      <c r="D308" s="100"/>
      <c r="E308" s="100"/>
      <c r="F308" s="91">
        <v>0</v>
      </c>
      <c r="G308" s="100"/>
      <c r="H308" s="100"/>
      <c r="I308" s="100"/>
      <c r="J308" s="100"/>
      <c r="K308" s="89">
        <v>0</v>
      </c>
      <c r="L308" s="100"/>
      <c r="M308" s="100"/>
      <c r="N308" s="100"/>
      <c r="O308" s="100"/>
      <c r="P308" s="89">
        <v>7</v>
      </c>
      <c r="Q308" s="100"/>
      <c r="R308" s="100"/>
      <c r="S308" s="100"/>
      <c r="T308" s="100"/>
      <c r="U308" s="92">
        <v>0</v>
      </c>
      <c r="V308" s="100"/>
      <c r="W308" s="100"/>
      <c r="X308" s="100"/>
    </row>
    <row r="309" spans="1:24">
      <c r="A309" s="89">
        <v>24</v>
      </c>
      <c r="B309" s="100"/>
      <c r="C309" s="100"/>
      <c r="D309" s="100"/>
      <c r="E309" s="100"/>
      <c r="F309" s="91">
        <v>36</v>
      </c>
      <c r="G309" s="100"/>
      <c r="H309" s="100"/>
      <c r="I309" s="100"/>
      <c r="J309" s="100"/>
      <c r="K309" s="89">
        <v>4</v>
      </c>
      <c r="L309" s="100"/>
      <c r="M309" s="100"/>
      <c r="N309" s="100"/>
      <c r="O309" s="100"/>
      <c r="P309" s="89">
        <v>4</v>
      </c>
      <c r="Q309" s="100"/>
      <c r="R309" s="100"/>
      <c r="S309" s="100"/>
      <c r="T309" s="100"/>
      <c r="U309" s="92">
        <v>30</v>
      </c>
      <c r="V309" s="100"/>
      <c r="W309" s="100"/>
      <c r="X309" s="100"/>
    </row>
    <row r="310" spans="1:24">
      <c r="A310" s="89">
        <v>24</v>
      </c>
      <c r="B310" s="100"/>
      <c r="C310" s="100"/>
      <c r="D310" s="100"/>
      <c r="E310" s="100"/>
      <c r="F310" s="91">
        <v>1.5</v>
      </c>
      <c r="G310" s="100"/>
      <c r="H310" s="100"/>
      <c r="I310" s="100"/>
      <c r="J310" s="100"/>
      <c r="K310" s="89">
        <v>0</v>
      </c>
      <c r="L310" s="100"/>
      <c r="M310" s="100"/>
      <c r="N310" s="100"/>
      <c r="O310" s="100"/>
      <c r="P310" s="89">
        <v>14</v>
      </c>
      <c r="Q310" s="100"/>
      <c r="R310" s="100"/>
      <c r="S310" s="100"/>
      <c r="T310" s="100"/>
      <c r="U310" s="92">
        <v>10</v>
      </c>
      <c r="V310" s="100"/>
      <c r="W310" s="100"/>
      <c r="X310" s="100"/>
    </row>
    <row r="311" spans="1:24">
      <c r="A311" s="89">
        <v>24</v>
      </c>
      <c r="B311" s="100"/>
      <c r="C311" s="100"/>
      <c r="D311" s="100"/>
      <c r="E311" s="100"/>
      <c r="F311" s="91">
        <v>2</v>
      </c>
      <c r="G311" s="100"/>
      <c r="H311" s="100"/>
      <c r="I311" s="100"/>
      <c r="J311" s="100"/>
      <c r="K311" s="89">
        <v>1</v>
      </c>
      <c r="L311" s="100"/>
      <c r="M311" s="100"/>
      <c r="N311" s="100"/>
      <c r="O311" s="100"/>
      <c r="P311" s="89">
        <v>9</v>
      </c>
      <c r="Q311" s="100"/>
      <c r="R311" s="100"/>
      <c r="S311" s="100"/>
      <c r="T311" s="100"/>
      <c r="U311" s="92">
        <v>25</v>
      </c>
      <c r="V311" s="100"/>
      <c r="W311" s="100"/>
      <c r="X311" s="100"/>
    </row>
    <row r="312" spans="1:24">
      <c r="A312" s="89">
        <v>24</v>
      </c>
      <c r="B312" s="100"/>
      <c r="C312" s="100"/>
      <c r="D312" s="100"/>
      <c r="E312" s="100"/>
      <c r="F312" s="91">
        <v>0</v>
      </c>
      <c r="G312" s="100"/>
      <c r="H312" s="100"/>
      <c r="I312" s="100"/>
      <c r="J312" s="100"/>
      <c r="K312" s="89">
        <v>0</v>
      </c>
      <c r="L312" s="100"/>
      <c r="M312" s="100"/>
      <c r="N312" s="100"/>
      <c r="O312" s="100"/>
      <c r="P312" s="89">
        <v>4</v>
      </c>
      <c r="Q312" s="100"/>
      <c r="R312" s="100"/>
      <c r="S312" s="100"/>
      <c r="T312" s="100"/>
      <c r="U312" s="92">
        <v>0</v>
      </c>
      <c r="V312" s="100"/>
      <c r="W312" s="100"/>
      <c r="X312" s="100"/>
    </row>
    <row r="313" spans="1:24">
      <c r="A313" s="89">
        <v>25</v>
      </c>
      <c r="B313" s="100"/>
      <c r="C313" s="100"/>
      <c r="D313" s="100"/>
      <c r="E313" s="100"/>
      <c r="F313" s="91">
        <v>37</v>
      </c>
      <c r="G313" s="100"/>
      <c r="H313" s="100"/>
      <c r="I313" s="100"/>
      <c r="J313" s="100"/>
      <c r="K313" s="89">
        <v>2</v>
      </c>
      <c r="L313" s="100"/>
      <c r="M313" s="100"/>
      <c r="N313" s="100"/>
      <c r="O313" s="100"/>
      <c r="P313" s="89">
        <v>12</v>
      </c>
      <c r="Q313" s="100"/>
      <c r="R313" s="100"/>
      <c r="S313" s="100"/>
      <c r="T313" s="100"/>
      <c r="U313" s="92">
        <v>39.99</v>
      </c>
      <c r="V313" s="100"/>
      <c r="W313" s="100"/>
      <c r="X313" s="100"/>
    </row>
    <row r="314" spans="1:24">
      <c r="A314" s="89">
        <v>25</v>
      </c>
      <c r="B314" s="100"/>
      <c r="C314" s="100"/>
      <c r="D314" s="100"/>
      <c r="E314" s="100"/>
      <c r="F314" s="91">
        <v>35</v>
      </c>
      <c r="G314" s="100"/>
      <c r="H314" s="100"/>
      <c r="I314" s="100"/>
      <c r="J314" s="100"/>
      <c r="K314" s="89">
        <v>0</v>
      </c>
      <c r="L314" s="100"/>
      <c r="M314" s="100"/>
      <c r="N314" s="100"/>
      <c r="O314" s="100"/>
      <c r="P314" s="89">
        <v>3</v>
      </c>
      <c r="Q314" s="100"/>
      <c r="R314" s="100"/>
      <c r="S314" s="100"/>
      <c r="T314" s="100"/>
      <c r="U314" s="92">
        <v>100.5</v>
      </c>
      <c r="V314" s="100"/>
      <c r="W314" s="100"/>
      <c r="X314" s="100"/>
    </row>
    <row r="315" spans="1:24">
      <c r="A315" s="89">
        <v>25</v>
      </c>
      <c r="B315" s="100"/>
      <c r="C315" s="100"/>
      <c r="D315" s="100"/>
      <c r="E315" s="100"/>
      <c r="F315" s="91">
        <v>20</v>
      </c>
      <c r="G315" s="100"/>
      <c r="H315" s="100"/>
      <c r="I315" s="100"/>
      <c r="J315" s="100"/>
      <c r="K315" s="89">
        <v>0</v>
      </c>
      <c r="L315" s="100"/>
      <c r="M315" s="100"/>
      <c r="N315" s="100"/>
      <c r="O315" s="100"/>
      <c r="P315" s="89">
        <v>0</v>
      </c>
      <c r="Q315" s="100"/>
      <c r="R315" s="100"/>
      <c r="S315" s="100"/>
      <c r="T315" s="100"/>
      <c r="U315" s="92">
        <v>270.89999999999998</v>
      </c>
      <c r="V315" s="100"/>
      <c r="W315" s="100"/>
      <c r="X315" s="100"/>
    </row>
    <row r="316" spans="1:24">
      <c r="A316" s="89">
        <v>25</v>
      </c>
      <c r="B316" s="100"/>
      <c r="C316" s="100"/>
      <c r="D316" s="100"/>
      <c r="E316" s="100"/>
      <c r="F316" s="91">
        <v>3.5</v>
      </c>
      <c r="G316" s="100"/>
      <c r="H316" s="100"/>
      <c r="I316" s="100"/>
      <c r="J316" s="100"/>
      <c r="K316" s="89">
        <v>0</v>
      </c>
      <c r="L316" s="100"/>
      <c r="M316" s="100"/>
      <c r="N316" s="100"/>
      <c r="O316" s="100"/>
      <c r="P316" s="89">
        <v>3</v>
      </c>
      <c r="Q316" s="100"/>
      <c r="R316" s="100"/>
      <c r="S316" s="100"/>
      <c r="T316" s="100"/>
      <c r="U316" s="92">
        <v>30.5</v>
      </c>
      <c r="V316" s="100"/>
      <c r="W316" s="100"/>
      <c r="X316" s="100"/>
    </row>
    <row r="317" spans="1:24">
      <c r="A317" s="89">
        <v>25</v>
      </c>
      <c r="B317" s="100"/>
      <c r="C317" s="100"/>
      <c r="D317" s="100"/>
      <c r="E317" s="100"/>
      <c r="F317" s="91">
        <v>3.5</v>
      </c>
      <c r="G317" s="100"/>
      <c r="H317" s="100"/>
      <c r="I317" s="100"/>
      <c r="J317" s="100"/>
      <c r="K317" s="89">
        <v>0</v>
      </c>
      <c r="L317" s="100"/>
      <c r="M317" s="100"/>
      <c r="N317" s="100"/>
      <c r="O317" s="100"/>
      <c r="P317" s="89">
        <v>2</v>
      </c>
      <c r="Q317" s="100"/>
      <c r="R317" s="100"/>
      <c r="S317" s="100"/>
      <c r="T317" s="100"/>
      <c r="U317" s="92">
        <v>20.5</v>
      </c>
      <c r="V317" s="100"/>
      <c r="W317" s="100"/>
      <c r="X317" s="100"/>
    </row>
    <row r="318" spans="1:24">
      <c r="A318" s="89">
        <v>25</v>
      </c>
      <c r="B318" s="100"/>
      <c r="C318" s="100"/>
      <c r="D318" s="100"/>
      <c r="E318" s="100"/>
      <c r="F318" s="91">
        <v>5.5</v>
      </c>
      <c r="G318" s="100"/>
      <c r="H318" s="100"/>
      <c r="I318" s="100"/>
      <c r="J318" s="100"/>
      <c r="K318" s="89">
        <v>0</v>
      </c>
      <c r="L318" s="100"/>
      <c r="M318" s="100"/>
      <c r="N318" s="100"/>
      <c r="O318" s="100"/>
      <c r="P318" s="89">
        <v>2</v>
      </c>
      <c r="Q318" s="100"/>
      <c r="R318" s="100"/>
      <c r="S318" s="100"/>
      <c r="T318" s="100"/>
      <c r="U318" s="92">
        <v>10.9</v>
      </c>
      <c r="V318" s="100"/>
      <c r="W318" s="100"/>
      <c r="X318" s="100"/>
    </row>
    <row r="319" spans="1:24">
      <c r="A319" s="89">
        <v>25</v>
      </c>
      <c r="B319" s="100"/>
      <c r="C319" s="100"/>
      <c r="D319" s="100"/>
      <c r="E319" s="100"/>
      <c r="F319" s="91">
        <v>20.5</v>
      </c>
      <c r="G319" s="100"/>
      <c r="H319" s="100"/>
      <c r="I319" s="100"/>
      <c r="J319" s="100"/>
      <c r="K319" s="89">
        <v>1</v>
      </c>
      <c r="L319" s="100"/>
      <c r="M319" s="100"/>
      <c r="N319" s="100"/>
      <c r="O319" s="100"/>
      <c r="P319" s="89">
        <v>3</v>
      </c>
      <c r="Q319" s="100"/>
      <c r="R319" s="100"/>
      <c r="S319" s="100"/>
      <c r="T319" s="100"/>
      <c r="U319" s="92">
        <v>35.5</v>
      </c>
      <c r="V319" s="100"/>
      <c r="W319" s="100"/>
      <c r="X319" s="100"/>
    </row>
    <row r="320" spans="1:24">
      <c r="A320" s="89">
        <v>25</v>
      </c>
      <c r="B320" s="100"/>
      <c r="C320" s="100"/>
      <c r="D320" s="100"/>
      <c r="E320" s="100"/>
      <c r="F320" s="91">
        <v>50</v>
      </c>
      <c r="G320" s="100"/>
      <c r="H320" s="100"/>
      <c r="I320" s="100"/>
      <c r="J320" s="100"/>
      <c r="K320" s="89">
        <v>2</v>
      </c>
      <c r="L320" s="100"/>
      <c r="M320" s="100"/>
      <c r="N320" s="100"/>
      <c r="O320" s="100"/>
      <c r="P320" s="89">
        <v>4</v>
      </c>
      <c r="Q320" s="100"/>
      <c r="R320" s="100"/>
      <c r="S320" s="100"/>
      <c r="T320" s="100"/>
      <c r="U320" s="92">
        <v>250.6</v>
      </c>
      <c r="V320" s="100"/>
      <c r="W320" s="100"/>
      <c r="X320" s="100"/>
    </row>
    <row r="321" spans="1:24">
      <c r="A321" s="89">
        <v>25</v>
      </c>
      <c r="B321" s="100"/>
      <c r="C321" s="100"/>
      <c r="D321" s="100"/>
      <c r="E321" s="100"/>
      <c r="F321" s="91">
        <v>18.5</v>
      </c>
      <c r="G321" s="100"/>
      <c r="H321" s="100"/>
      <c r="I321" s="100"/>
      <c r="J321" s="100"/>
      <c r="K321" s="89">
        <v>1</v>
      </c>
      <c r="L321" s="100"/>
      <c r="M321" s="100"/>
      <c r="N321" s="100"/>
      <c r="O321" s="100"/>
      <c r="P321" s="89">
        <v>2</v>
      </c>
      <c r="Q321" s="100"/>
      <c r="R321" s="100"/>
      <c r="S321" s="100"/>
      <c r="T321" s="100"/>
      <c r="U321" s="92">
        <v>10.8</v>
      </c>
      <c r="V321" s="100"/>
      <c r="W321" s="100"/>
      <c r="X321" s="100"/>
    </row>
    <row r="322" spans="1:24">
      <c r="A322" s="89">
        <v>25</v>
      </c>
      <c r="B322" s="100"/>
      <c r="C322" s="100"/>
      <c r="D322" s="100"/>
      <c r="E322" s="100"/>
      <c r="F322" s="91">
        <v>7</v>
      </c>
      <c r="G322" s="100"/>
      <c r="H322" s="100"/>
      <c r="I322" s="100"/>
      <c r="J322" s="100"/>
      <c r="K322" s="89">
        <v>0</v>
      </c>
      <c r="L322" s="100"/>
      <c r="M322" s="100"/>
      <c r="N322" s="100"/>
      <c r="O322" s="100"/>
      <c r="P322" s="89">
        <v>11</v>
      </c>
      <c r="Q322" s="100"/>
      <c r="R322" s="100"/>
      <c r="S322" s="100"/>
      <c r="T322" s="100"/>
      <c r="U322" s="92">
        <v>30</v>
      </c>
      <c r="V322" s="100"/>
      <c r="W322" s="100"/>
      <c r="X322" s="100"/>
    </row>
    <row r="323" spans="1:24">
      <c r="A323" s="89">
        <v>25</v>
      </c>
      <c r="B323" s="100"/>
      <c r="C323" s="100"/>
      <c r="D323" s="100"/>
      <c r="E323" s="100"/>
      <c r="F323" s="91">
        <v>25.75</v>
      </c>
      <c r="G323" s="100"/>
      <c r="H323" s="100"/>
      <c r="I323" s="100"/>
      <c r="J323" s="100"/>
      <c r="K323" s="89">
        <v>1</v>
      </c>
      <c r="L323" s="100"/>
      <c r="M323" s="100"/>
      <c r="N323" s="100"/>
      <c r="O323" s="100"/>
      <c r="P323" s="89">
        <v>3</v>
      </c>
      <c r="Q323" s="100"/>
      <c r="R323" s="100"/>
      <c r="S323" s="100"/>
      <c r="T323" s="100"/>
      <c r="U323" s="92">
        <v>150.9</v>
      </c>
      <c r="V323" s="100"/>
      <c r="W323" s="100"/>
      <c r="X323" s="100"/>
    </row>
    <row r="324" spans="1:24">
      <c r="A324" s="89">
        <v>25</v>
      </c>
      <c r="B324" s="100"/>
      <c r="C324" s="100"/>
      <c r="D324" s="100"/>
      <c r="E324" s="100"/>
      <c r="F324" s="91">
        <v>2.5</v>
      </c>
      <c r="G324" s="100"/>
      <c r="H324" s="100"/>
      <c r="I324" s="100"/>
      <c r="J324" s="100"/>
      <c r="K324" s="89">
        <v>1</v>
      </c>
      <c r="L324" s="100"/>
      <c r="M324" s="100"/>
      <c r="N324" s="100"/>
      <c r="O324" s="100"/>
      <c r="P324" s="89">
        <v>1</v>
      </c>
      <c r="Q324" s="100"/>
      <c r="R324" s="100"/>
      <c r="S324" s="100"/>
      <c r="T324" s="100"/>
      <c r="U324" s="92">
        <v>14.99</v>
      </c>
      <c r="V324" s="100"/>
      <c r="W324" s="100"/>
      <c r="X324" s="100"/>
    </row>
    <row r="325" spans="1:24">
      <c r="A325" s="89">
        <v>25</v>
      </c>
      <c r="B325" s="100"/>
      <c r="C325" s="100"/>
      <c r="D325" s="100"/>
      <c r="E325" s="100"/>
      <c r="F325" s="91">
        <v>1.5</v>
      </c>
      <c r="G325" s="100"/>
      <c r="H325" s="100"/>
      <c r="I325" s="100"/>
      <c r="J325" s="100"/>
      <c r="K325" s="89">
        <v>1</v>
      </c>
      <c r="L325" s="100"/>
      <c r="M325" s="100"/>
      <c r="N325" s="100"/>
      <c r="O325" s="100"/>
      <c r="P325" s="89">
        <v>1</v>
      </c>
      <c r="Q325" s="100"/>
      <c r="R325" s="100"/>
      <c r="S325" s="100"/>
      <c r="T325" s="100"/>
      <c r="U325" s="92">
        <v>70.900000000000006</v>
      </c>
      <c r="V325" s="100"/>
      <c r="W325" s="100"/>
      <c r="X325" s="100"/>
    </row>
    <row r="326" spans="1:24">
      <c r="A326" s="89">
        <v>25</v>
      </c>
      <c r="B326" s="100"/>
      <c r="C326" s="100"/>
      <c r="D326" s="100"/>
      <c r="E326" s="100"/>
      <c r="F326" s="91">
        <v>7</v>
      </c>
      <c r="G326" s="100"/>
      <c r="H326" s="100"/>
      <c r="I326" s="100"/>
      <c r="J326" s="100"/>
      <c r="K326" s="89">
        <v>2</v>
      </c>
      <c r="L326" s="100"/>
      <c r="M326" s="100"/>
      <c r="N326" s="100"/>
      <c r="O326" s="100"/>
      <c r="P326" s="89">
        <v>5</v>
      </c>
      <c r="Q326" s="100"/>
      <c r="R326" s="100"/>
      <c r="S326" s="100"/>
      <c r="T326" s="100"/>
      <c r="U326" s="92">
        <v>35</v>
      </c>
      <c r="V326" s="100"/>
      <c r="W326" s="100"/>
      <c r="X326" s="100"/>
    </row>
    <row r="327" spans="1:24">
      <c r="A327" s="89">
        <v>25</v>
      </c>
      <c r="B327" s="100"/>
      <c r="C327" s="100"/>
      <c r="D327" s="100"/>
      <c r="E327" s="100"/>
      <c r="F327" s="91">
        <v>6</v>
      </c>
      <c r="G327" s="100"/>
      <c r="H327" s="100"/>
      <c r="I327" s="100"/>
      <c r="J327" s="100"/>
      <c r="K327" s="89">
        <v>6</v>
      </c>
      <c r="L327" s="100"/>
      <c r="M327" s="100"/>
      <c r="N327" s="100"/>
      <c r="O327" s="100"/>
      <c r="P327" s="89">
        <v>4</v>
      </c>
      <c r="Q327" s="100"/>
      <c r="R327" s="100"/>
      <c r="S327" s="100"/>
      <c r="T327" s="100"/>
      <c r="U327" s="92">
        <v>35</v>
      </c>
      <c r="V327" s="100"/>
      <c r="W327" s="100"/>
      <c r="X327" s="100"/>
    </row>
    <row r="328" spans="1:24">
      <c r="A328" s="89">
        <v>25</v>
      </c>
      <c r="B328" s="100"/>
      <c r="C328" s="100"/>
      <c r="D328" s="100"/>
      <c r="E328" s="100"/>
      <c r="F328" s="91">
        <v>4</v>
      </c>
      <c r="G328" s="100"/>
      <c r="H328" s="100"/>
      <c r="I328" s="100"/>
      <c r="J328" s="100"/>
      <c r="K328" s="89">
        <v>1</v>
      </c>
      <c r="L328" s="100"/>
      <c r="M328" s="100"/>
      <c r="N328" s="100"/>
      <c r="O328" s="100"/>
      <c r="P328" s="89">
        <v>3</v>
      </c>
      <c r="Q328" s="100"/>
      <c r="R328" s="100"/>
      <c r="S328" s="100"/>
      <c r="T328" s="100"/>
      <c r="U328" s="92">
        <v>20</v>
      </c>
      <c r="V328" s="100"/>
      <c r="W328" s="100"/>
      <c r="X328" s="100"/>
    </row>
    <row r="329" spans="1:24">
      <c r="A329" s="89">
        <v>25</v>
      </c>
      <c r="B329" s="100"/>
      <c r="C329" s="100"/>
      <c r="D329" s="100"/>
      <c r="E329" s="100"/>
      <c r="F329" s="91">
        <v>0</v>
      </c>
      <c r="G329" s="100"/>
      <c r="H329" s="100"/>
      <c r="I329" s="100"/>
      <c r="J329" s="100"/>
      <c r="K329" s="89">
        <v>0</v>
      </c>
      <c r="L329" s="100"/>
      <c r="M329" s="100"/>
      <c r="N329" s="100"/>
      <c r="O329" s="100"/>
      <c r="P329" s="89">
        <v>1</v>
      </c>
      <c r="Q329" s="100"/>
      <c r="R329" s="100"/>
      <c r="S329" s="100"/>
      <c r="T329" s="100"/>
      <c r="U329" s="92">
        <v>0</v>
      </c>
      <c r="V329" s="100"/>
      <c r="W329" s="100"/>
      <c r="X329" s="100"/>
    </row>
    <row r="330" spans="1:24">
      <c r="A330" s="89">
        <v>25</v>
      </c>
      <c r="B330" s="100"/>
      <c r="C330" s="100"/>
      <c r="D330" s="100"/>
      <c r="E330" s="100"/>
      <c r="F330" s="91">
        <v>2</v>
      </c>
      <c r="G330" s="100"/>
      <c r="H330" s="100"/>
      <c r="I330" s="100"/>
      <c r="J330" s="100"/>
      <c r="K330" s="89">
        <v>0</v>
      </c>
      <c r="L330" s="100"/>
      <c r="M330" s="100"/>
      <c r="N330" s="100"/>
      <c r="O330" s="100"/>
      <c r="P330" s="89">
        <v>7</v>
      </c>
      <c r="Q330" s="100"/>
      <c r="R330" s="100"/>
      <c r="S330" s="100"/>
      <c r="T330" s="100"/>
      <c r="U330" s="92">
        <v>0</v>
      </c>
      <c r="V330" s="100"/>
      <c r="W330" s="100"/>
      <c r="X330" s="100"/>
    </row>
    <row r="331" spans="1:24">
      <c r="A331" s="89">
        <v>25</v>
      </c>
      <c r="B331" s="100"/>
      <c r="C331" s="100"/>
      <c r="D331" s="100"/>
      <c r="E331" s="100"/>
      <c r="F331" s="91">
        <v>1</v>
      </c>
      <c r="G331" s="100"/>
      <c r="H331" s="100"/>
      <c r="I331" s="100"/>
      <c r="J331" s="100"/>
      <c r="K331" s="89">
        <v>0</v>
      </c>
      <c r="L331" s="100"/>
      <c r="M331" s="100"/>
      <c r="N331" s="100"/>
      <c r="O331" s="100"/>
      <c r="P331" s="89">
        <v>3</v>
      </c>
      <c r="Q331" s="100"/>
      <c r="R331" s="100"/>
      <c r="S331" s="100"/>
      <c r="T331" s="100"/>
      <c r="U331" s="92">
        <v>0</v>
      </c>
      <c r="V331" s="100"/>
      <c r="W331" s="100"/>
      <c r="X331" s="100"/>
    </row>
    <row r="332" spans="1:24">
      <c r="A332" s="89">
        <v>25</v>
      </c>
      <c r="B332" s="100"/>
      <c r="C332" s="100"/>
      <c r="D332" s="100"/>
      <c r="E332" s="100"/>
      <c r="F332" s="91">
        <v>3</v>
      </c>
      <c r="G332" s="100"/>
      <c r="H332" s="100"/>
      <c r="I332" s="100"/>
      <c r="J332" s="100"/>
      <c r="K332" s="89">
        <v>2</v>
      </c>
      <c r="L332" s="100"/>
      <c r="M332" s="100"/>
      <c r="N332" s="100"/>
      <c r="O332" s="100"/>
      <c r="P332" s="89">
        <v>5</v>
      </c>
      <c r="Q332" s="100"/>
      <c r="R332" s="100"/>
      <c r="S332" s="100"/>
      <c r="T332" s="100"/>
      <c r="U332" s="92">
        <v>0</v>
      </c>
      <c r="V332" s="100"/>
      <c r="W332" s="100"/>
      <c r="X332" s="100"/>
    </row>
    <row r="333" spans="1:24">
      <c r="A333" s="89">
        <v>25</v>
      </c>
      <c r="B333" s="100"/>
      <c r="C333" s="100"/>
      <c r="D333" s="100"/>
      <c r="E333" s="100"/>
      <c r="F333" s="91">
        <v>0</v>
      </c>
      <c r="G333" s="100"/>
      <c r="H333" s="100"/>
      <c r="I333" s="100"/>
      <c r="J333" s="100"/>
      <c r="K333" s="89">
        <v>0</v>
      </c>
      <c r="L333" s="100"/>
      <c r="M333" s="100"/>
      <c r="N333" s="100"/>
      <c r="O333" s="100"/>
      <c r="P333" s="89">
        <v>4</v>
      </c>
      <c r="Q333" s="100"/>
      <c r="R333" s="100"/>
      <c r="S333" s="100"/>
      <c r="T333" s="100"/>
      <c r="U333" s="92">
        <v>0</v>
      </c>
      <c r="V333" s="100"/>
      <c r="W333" s="100"/>
      <c r="X333" s="100"/>
    </row>
    <row r="334" spans="1:24">
      <c r="A334" s="89">
        <v>25</v>
      </c>
      <c r="B334" s="100"/>
      <c r="C334" s="100"/>
      <c r="D334" s="100"/>
      <c r="E334" s="100"/>
      <c r="F334" s="91">
        <v>3</v>
      </c>
      <c r="G334" s="100"/>
      <c r="H334" s="100"/>
      <c r="I334" s="100"/>
      <c r="J334" s="100"/>
      <c r="K334" s="89">
        <v>0</v>
      </c>
      <c r="L334" s="100"/>
      <c r="M334" s="100"/>
      <c r="N334" s="100"/>
      <c r="O334" s="100"/>
      <c r="P334" s="89">
        <v>4</v>
      </c>
      <c r="Q334" s="100"/>
      <c r="R334" s="100"/>
      <c r="S334" s="100"/>
      <c r="T334" s="100"/>
      <c r="U334" s="92">
        <v>0</v>
      </c>
      <c r="V334" s="100"/>
      <c r="W334" s="100"/>
      <c r="X334" s="100"/>
    </row>
    <row r="335" spans="1:24">
      <c r="A335" s="89">
        <v>25</v>
      </c>
      <c r="B335" s="100"/>
      <c r="C335" s="100"/>
      <c r="D335" s="100"/>
      <c r="E335" s="100"/>
      <c r="F335" s="91">
        <v>15</v>
      </c>
      <c r="G335" s="100"/>
      <c r="H335" s="100"/>
      <c r="I335" s="100"/>
      <c r="J335" s="100"/>
      <c r="K335" s="89">
        <v>2</v>
      </c>
      <c r="L335" s="100"/>
      <c r="M335" s="100"/>
      <c r="N335" s="100"/>
      <c r="O335" s="100"/>
      <c r="P335" s="89">
        <v>20</v>
      </c>
      <c r="Q335" s="100"/>
      <c r="R335" s="100"/>
      <c r="S335" s="100"/>
      <c r="T335" s="100"/>
      <c r="U335" s="92">
        <v>35</v>
      </c>
      <c r="V335" s="100"/>
      <c r="W335" s="100"/>
      <c r="X335" s="100"/>
    </row>
    <row r="336" spans="1:24">
      <c r="A336" s="89">
        <v>25</v>
      </c>
      <c r="B336" s="100"/>
      <c r="C336" s="100"/>
      <c r="D336" s="100"/>
      <c r="E336" s="100"/>
      <c r="F336" s="91">
        <v>0</v>
      </c>
      <c r="G336" s="100"/>
      <c r="H336" s="100"/>
      <c r="I336" s="100"/>
      <c r="J336" s="100"/>
      <c r="K336" s="89">
        <v>0</v>
      </c>
      <c r="L336" s="100"/>
      <c r="M336" s="100"/>
      <c r="N336" s="100"/>
      <c r="O336" s="100"/>
      <c r="P336" s="89">
        <v>5</v>
      </c>
      <c r="Q336" s="100"/>
      <c r="R336" s="100"/>
      <c r="S336" s="100"/>
      <c r="T336" s="100"/>
      <c r="U336" s="92">
        <v>0</v>
      </c>
      <c r="V336" s="100"/>
      <c r="W336" s="100"/>
      <c r="X336" s="100"/>
    </row>
    <row r="337" spans="1:24">
      <c r="A337" s="89">
        <v>26</v>
      </c>
      <c r="B337" s="100"/>
      <c r="C337" s="100"/>
      <c r="D337" s="100"/>
      <c r="E337" s="100"/>
      <c r="F337" s="91">
        <v>15</v>
      </c>
      <c r="G337" s="100"/>
      <c r="H337" s="100"/>
      <c r="I337" s="100"/>
      <c r="J337" s="100"/>
      <c r="K337" s="89">
        <v>0</v>
      </c>
      <c r="L337" s="100"/>
      <c r="M337" s="100"/>
      <c r="N337" s="100"/>
      <c r="O337" s="100"/>
      <c r="P337" s="89">
        <v>4</v>
      </c>
      <c r="Q337" s="100"/>
      <c r="R337" s="100"/>
      <c r="S337" s="100"/>
      <c r="T337" s="100"/>
      <c r="U337" s="92">
        <v>2000</v>
      </c>
      <c r="V337" s="100"/>
      <c r="W337" s="100"/>
      <c r="X337" s="100"/>
    </row>
    <row r="338" spans="1:24">
      <c r="A338" s="89">
        <v>26</v>
      </c>
      <c r="B338" s="100"/>
      <c r="C338" s="100"/>
      <c r="D338" s="100"/>
      <c r="E338" s="100"/>
      <c r="F338" s="91">
        <v>2</v>
      </c>
      <c r="G338" s="100"/>
      <c r="H338" s="100"/>
      <c r="I338" s="100"/>
      <c r="J338" s="100"/>
      <c r="K338" s="89">
        <v>0</v>
      </c>
      <c r="L338" s="100"/>
      <c r="M338" s="100"/>
      <c r="N338" s="100"/>
      <c r="O338" s="100"/>
      <c r="P338" s="89">
        <v>3</v>
      </c>
      <c r="Q338" s="100"/>
      <c r="R338" s="100"/>
      <c r="S338" s="100"/>
      <c r="T338" s="100"/>
      <c r="U338" s="92">
        <v>250.75</v>
      </c>
      <c r="V338" s="100"/>
      <c r="W338" s="100"/>
      <c r="X338" s="100"/>
    </row>
    <row r="339" spans="1:24">
      <c r="A339" s="89">
        <v>26</v>
      </c>
      <c r="B339" s="100"/>
      <c r="C339" s="100"/>
      <c r="D339" s="100"/>
      <c r="E339" s="100"/>
      <c r="F339" s="91">
        <v>20.399999999999999</v>
      </c>
      <c r="G339" s="100"/>
      <c r="H339" s="100"/>
      <c r="I339" s="100"/>
      <c r="J339" s="100"/>
      <c r="K339" s="89">
        <v>1</v>
      </c>
      <c r="L339" s="100"/>
      <c r="M339" s="100"/>
      <c r="N339" s="100"/>
      <c r="O339" s="100"/>
      <c r="P339" s="89">
        <v>2</v>
      </c>
      <c r="Q339" s="100"/>
      <c r="R339" s="100"/>
      <c r="S339" s="100"/>
      <c r="T339" s="100"/>
      <c r="U339" s="92">
        <v>20.6</v>
      </c>
      <c r="V339" s="100"/>
      <c r="W339" s="100"/>
      <c r="X339" s="100"/>
    </row>
    <row r="340" spans="1:24">
      <c r="A340" s="89">
        <v>26</v>
      </c>
      <c r="B340" s="100"/>
      <c r="C340" s="100"/>
      <c r="D340" s="100"/>
      <c r="E340" s="100"/>
      <c r="F340" s="91">
        <v>7</v>
      </c>
      <c r="G340" s="100"/>
      <c r="H340" s="100"/>
      <c r="I340" s="100"/>
      <c r="J340" s="100"/>
      <c r="K340" s="89">
        <v>1</v>
      </c>
      <c r="L340" s="100"/>
      <c r="M340" s="100"/>
      <c r="N340" s="100"/>
      <c r="O340" s="100"/>
      <c r="P340" s="89">
        <v>13</v>
      </c>
      <c r="Q340" s="100"/>
      <c r="R340" s="100"/>
      <c r="S340" s="100"/>
      <c r="T340" s="100"/>
      <c r="U340" s="92">
        <v>40</v>
      </c>
      <c r="V340" s="100"/>
      <c r="W340" s="100"/>
      <c r="X340" s="100"/>
    </row>
    <row r="341" spans="1:24">
      <c r="A341" s="89">
        <v>26</v>
      </c>
      <c r="B341" s="100"/>
      <c r="C341" s="100"/>
      <c r="D341" s="100"/>
      <c r="E341" s="100"/>
      <c r="F341" s="91">
        <v>11.75</v>
      </c>
      <c r="G341" s="100"/>
      <c r="H341" s="100"/>
      <c r="I341" s="100"/>
      <c r="J341" s="100"/>
      <c r="K341" s="89">
        <v>1</v>
      </c>
      <c r="L341" s="100"/>
      <c r="M341" s="100"/>
      <c r="N341" s="100"/>
      <c r="O341" s="100"/>
      <c r="P341" s="89">
        <v>3</v>
      </c>
      <c r="Q341" s="100"/>
      <c r="R341" s="100"/>
      <c r="S341" s="100"/>
      <c r="T341" s="100"/>
      <c r="U341" s="92">
        <v>150.99</v>
      </c>
      <c r="V341" s="100"/>
      <c r="W341" s="100"/>
      <c r="X341" s="100"/>
    </row>
    <row r="342" spans="1:24">
      <c r="A342" s="89">
        <v>26</v>
      </c>
      <c r="B342" s="100"/>
      <c r="C342" s="100"/>
      <c r="D342" s="100"/>
      <c r="E342" s="100"/>
      <c r="F342" s="91">
        <v>1</v>
      </c>
      <c r="G342" s="100"/>
      <c r="H342" s="100"/>
      <c r="I342" s="100"/>
      <c r="J342" s="100"/>
      <c r="K342" s="89">
        <v>0</v>
      </c>
      <c r="L342" s="100"/>
      <c r="M342" s="100"/>
      <c r="N342" s="100"/>
      <c r="O342" s="100"/>
      <c r="P342" s="89">
        <v>6</v>
      </c>
      <c r="Q342" s="100"/>
      <c r="R342" s="100"/>
      <c r="S342" s="100"/>
      <c r="T342" s="100"/>
      <c r="U342" s="92">
        <v>0</v>
      </c>
      <c r="V342" s="100"/>
      <c r="W342" s="100"/>
      <c r="X342" s="100"/>
    </row>
    <row r="343" spans="1:24">
      <c r="A343" s="89">
        <v>26</v>
      </c>
      <c r="B343" s="100"/>
      <c r="C343" s="100"/>
      <c r="D343" s="100"/>
      <c r="E343" s="100"/>
      <c r="F343" s="91">
        <v>1</v>
      </c>
      <c r="G343" s="100"/>
      <c r="H343" s="100"/>
      <c r="I343" s="100"/>
      <c r="J343" s="100"/>
      <c r="K343" s="89">
        <v>0</v>
      </c>
      <c r="L343" s="100"/>
      <c r="M343" s="100"/>
      <c r="N343" s="100"/>
      <c r="O343" s="100"/>
      <c r="P343" s="89">
        <v>6</v>
      </c>
      <c r="Q343" s="100"/>
      <c r="R343" s="100"/>
      <c r="S343" s="100"/>
      <c r="T343" s="100"/>
      <c r="U343" s="92">
        <v>0</v>
      </c>
      <c r="V343" s="100"/>
      <c r="W343" s="100"/>
      <c r="X343" s="100"/>
    </row>
    <row r="344" spans="1:24">
      <c r="A344" s="89">
        <v>26</v>
      </c>
      <c r="B344" s="100"/>
      <c r="C344" s="100"/>
      <c r="D344" s="100"/>
      <c r="E344" s="100"/>
      <c r="F344" s="91">
        <v>3</v>
      </c>
      <c r="G344" s="100"/>
      <c r="H344" s="100"/>
      <c r="I344" s="100"/>
      <c r="J344" s="100"/>
      <c r="K344" s="89">
        <v>0</v>
      </c>
      <c r="L344" s="100"/>
      <c r="M344" s="100"/>
      <c r="N344" s="100"/>
      <c r="O344" s="100"/>
      <c r="P344" s="89">
        <v>8</v>
      </c>
      <c r="Q344" s="100"/>
      <c r="R344" s="100"/>
      <c r="S344" s="100"/>
      <c r="T344" s="100"/>
      <c r="U344" s="92">
        <v>30</v>
      </c>
      <c r="V344" s="100"/>
      <c r="W344" s="100"/>
      <c r="X344" s="100"/>
    </row>
    <row r="345" spans="1:24">
      <c r="A345" s="89">
        <v>26</v>
      </c>
      <c r="B345" s="100"/>
      <c r="C345" s="100"/>
      <c r="D345" s="100"/>
      <c r="E345" s="100"/>
      <c r="F345" s="91">
        <v>14</v>
      </c>
      <c r="G345" s="100"/>
      <c r="H345" s="100"/>
      <c r="I345" s="100"/>
      <c r="J345" s="100"/>
      <c r="K345" s="89">
        <v>1</v>
      </c>
      <c r="L345" s="100"/>
      <c r="M345" s="100"/>
      <c r="N345" s="100"/>
      <c r="O345" s="100"/>
      <c r="P345" s="89">
        <v>4</v>
      </c>
      <c r="Q345" s="100"/>
      <c r="R345" s="100"/>
      <c r="S345" s="100"/>
      <c r="T345" s="100"/>
      <c r="U345" s="92">
        <v>0</v>
      </c>
      <c r="V345" s="100"/>
      <c r="W345" s="100"/>
      <c r="X345" s="100"/>
    </row>
    <row r="346" spans="1:24">
      <c r="A346" s="89">
        <v>26</v>
      </c>
      <c r="B346" s="100"/>
      <c r="C346" s="100"/>
      <c r="D346" s="100"/>
      <c r="E346" s="100"/>
      <c r="F346" s="91">
        <v>1</v>
      </c>
      <c r="G346" s="100"/>
      <c r="H346" s="100"/>
      <c r="I346" s="100"/>
      <c r="J346" s="100"/>
      <c r="K346" s="89">
        <v>0</v>
      </c>
      <c r="L346" s="100"/>
      <c r="M346" s="100"/>
      <c r="N346" s="100"/>
      <c r="O346" s="100"/>
      <c r="P346" s="89">
        <v>3</v>
      </c>
      <c r="Q346" s="100"/>
      <c r="R346" s="100"/>
      <c r="S346" s="100"/>
      <c r="T346" s="100"/>
      <c r="U346" s="92">
        <v>300</v>
      </c>
      <c r="V346" s="100"/>
      <c r="W346" s="100"/>
      <c r="X346" s="100"/>
    </row>
    <row r="347" spans="1:24">
      <c r="A347" s="89">
        <v>27</v>
      </c>
      <c r="B347" s="100"/>
      <c r="C347" s="100"/>
      <c r="D347" s="100"/>
      <c r="E347" s="100"/>
      <c r="F347" s="91">
        <v>10.75</v>
      </c>
      <c r="G347" s="100"/>
      <c r="H347" s="100"/>
      <c r="I347" s="100"/>
      <c r="J347" s="100"/>
      <c r="K347" s="89">
        <v>1</v>
      </c>
      <c r="L347" s="100"/>
      <c r="M347" s="100"/>
      <c r="N347" s="100"/>
      <c r="O347" s="100"/>
      <c r="P347" s="89">
        <v>4</v>
      </c>
      <c r="Q347" s="100"/>
      <c r="R347" s="100"/>
      <c r="S347" s="100"/>
      <c r="T347" s="100"/>
      <c r="U347" s="92">
        <v>19.989999999999998</v>
      </c>
      <c r="V347" s="100"/>
      <c r="W347" s="100"/>
      <c r="X347" s="100"/>
    </row>
    <row r="348" spans="1:24">
      <c r="A348" s="89">
        <v>27</v>
      </c>
      <c r="B348" s="100"/>
      <c r="C348" s="100"/>
      <c r="D348" s="100"/>
      <c r="E348" s="100"/>
      <c r="F348" s="91">
        <v>0</v>
      </c>
      <c r="G348" s="100"/>
      <c r="H348" s="100"/>
      <c r="I348" s="100"/>
      <c r="J348" s="100"/>
      <c r="K348" s="89">
        <v>0</v>
      </c>
      <c r="L348" s="100"/>
      <c r="M348" s="100"/>
      <c r="N348" s="100"/>
      <c r="O348" s="100"/>
      <c r="P348" s="89">
        <v>8</v>
      </c>
      <c r="Q348" s="100"/>
      <c r="R348" s="100"/>
      <c r="S348" s="100"/>
      <c r="T348" s="100"/>
      <c r="U348" s="92">
        <v>0</v>
      </c>
      <c r="V348" s="100"/>
      <c r="W348" s="100"/>
      <c r="X348" s="100"/>
    </row>
    <row r="349" spans="1:24">
      <c r="A349" s="89">
        <v>28</v>
      </c>
      <c r="B349" s="100"/>
      <c r="C349" s="100"/>
      <c r="D349" s="100"/>
      <c r="E349" s="100"/>
      <c r="F349" s="91">
        <v>47</v>
      </c>
      <c r="G349" s="100"/>
      <c r="H349" s="100"/>
      <c r="I349" s="100"/>
      <c r="J349" s="100"/>
      <c r="K349" s="89">
        <v>8</v>
      </c>
      <c r="L349" s="100"/>
      <c r="M349" s="100"/>
      <c r="N349" s="100"/>
      <c r="O349" s="100"/>
      <c r="P349" s="89">
        <v>9</v>
      </c>
      <c r="Q349" s="100"/>
      <c r="R349" s="100"/>
      <c r="S349" s="100"/>
      <c r="T349" s="100"/>
      <c r="U349" s="92">
        <v>500</v>
      </c>
      <c r="V349" s="100"/>
      <c r="W349" s="100"/>
      <c r="X349" s="100"/>
    </row>
    <row r="350" spans="1:24">
      <c r="A350" s="89">
        <v>30</v>
      </c>
      <c r="B350" s="100"/>
      <c r="C350" s="100"/>
      <c r="D350" s="100"/>
      <c r="E350" s="100"/>
      <c r="F350" s="91">
        <v>25.5</v>
      </c>
      <c r="G350" s="100"/>
      <c r="H350" s="100"/>
      <c r="I350" s="100"/>
      <c r="J350" s="100"/>
      <c r="K350" s="89">
        <v>1</v>
      </c>
      <c r="L350" s="100"/>
      <c r="M350" s="100"/>
      <c r="N350" s="100"/>
      <c r="O350" s="100"/>
      <c r="P350" s="89">
        <v>5</v>
      </c>
      <c r="Q350" s="100"/>
      <c r="R350" s="100"/>
      <c r="S350" s="100"/>
      <c r="T350" s="100"/>
      <c r="U350" s="92">
        <v>20</v>
      </c>
      <c r="V350" s="100"/>
      <c r="W350" s="100"/>
      <c r="X350" s="100"/>
    </row>
    <row r="351" spans="1:24">
      <c r="A351" s="89">
        <v>31</v>
      </c>
      <c r="B351" s="100"/>
      <c r="C351" s="100"/>
      <c r="D351" s="100"/>
      <c r="E351" s="100"/>
      <c r="F351" s="91">
        <v>1</v>
      </c>
      <c r="G351" s="100"/>
      <c r="H351" s="100"/>
      <c r="I351" s="100"/>
      <c r="J351" s="100"/>
      <c r="K351" s="89">
        <v>0</v>
      </c>
      <c r="L351" s="100"/>
      <c r="M351" s="100"/>
      <c r="N351" s="100"/>
      <c r="O351" s="100"/>
      <c r="P351" s="89">
        <v>20</v>
      </c>
      <c r="Q351" s="100"/>
      <c r="R351" s="100"/>
      <c r="S351" s="100"/>
      <c r="T351" s="100"/>
      <c r="U351" s="92">
        <v>0</v>
      </c>
      <c r="V351" s="100"/>
      <c r="W351" s="100"/>
      <c r="X351" s="100"/>
    </row>
    <row r="352" spans="1:24">
      <c r="A352" s="89">
        <v>35</v>
      </c>
      <c r="B352" s="100"/>
      <c r="C352" s="100"/>
      <c r="D352" s="100"/>
      <c r="E352" s="100"/>
      <c r="F352" s="91">
        <v>2</v>
      </c>
      <c r="G352" s="100"/>
      <c r="H352" s="100"/>
      <c r="I352" s="100"/>
      <c r="J352" s="100"/>
      <c r="K352" s="89">
        <v>0</v>
      </c>
      <c r="L352" s="100"/>
      <c r="M352" s="100"/>
      <c r="N352" s="100"/>
      <c r="O352" s="100"/>
      <c r="P352" s="89">
        <v>2</v>
      </c>
      <c r="Q352" s="100"/>
      <c r="R352" s="100"/>
      <c r="S352" s="100"/>
      <c r="T352" s="100"/>
      <c r="U352" s="92">
        <v>3000.5</v>
      </c>
      <c r="V352" s="100"/>
      <c r="W352" s="100"/>
      <c r="X352" s="10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Diego Hernández</dc:creator>
  <cp:keywords/>
  <dc:description/>
  <cp:lastModifiedBy/>
  <cp:revision/>
  <dcterms:created xsi:type="dcterms:W3CDTF">2025-10-28T18:33:08Z</dcterms:created>
  <dcterms:modified xsi:type="dcterms:W3CDTF">2025-12-12T00:53:47Z</dcterms:modified>
  <cp:category/>
  <cp:contentStatus/>
</cp:coreProperties>
</file>