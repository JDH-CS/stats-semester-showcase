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Z:\Universidad\Materias (4°SEM) CS\Probabilidad y Estadística\FINAL\CODIGO\"/>
    </mc:Choice>
  </mc:AlternateContent>
  <xr:revisionPtr revIDLastSave="0" documentId="13_ncr:1_{59F5159B-CE50-477C-93D6-FBFFD4D5520E}" xr6:coauthVersionLast="47" xr6:coauthVersionMax="47" xr10:uidLastSave="{00000000-0000-0000-0000-000000000000}"/>
  <bookViews>
    <workbookView xWindow="-108" yWindow="-108" windowWidth="23256" windowHeight="13176" xr2:uid="{46AB412C-BF81-4D7B-8438-BF0CBA97D10C}"/>
  </bookViews>
  <sheets>
    <sheet name="Principal" sheetId="1" r:id="rId1"/>
    <sheet name="BD_PuntosDeAcceso" sheetId="5" r:id="rId2"/>
    <sheet name="BD_DataTransferida" sheetId="2" r:id="rId3"/>
    <sheet name="BD_Sesiones" sheetId="3" r:id="rId4"/>
    <sheet name="BD_Meduca" sheetId="4" r:id="rId5"/>
  </sheets>
  <definedNames>
    <definedName name="_xlnm._FilterDatabase" localSheetId="2" hidden="1">BD_DataTransferida!$B$1:$G$55</definedName>
    <definedName name="_xlnm._FilterDatabase" localSheetId="4" hidden="1">BD_Meduca!$A$1:$O$34</definedName>
    <definedName name="_xlnm._FilterDatabase" localSheetId="1" hidden="1">BD_PuntosDeAcceso!$B$1:$J$55</definedName>
    <definedName name="_xlnm._FilterDatabase" localSheetId="3" hidden="1">BD_Sesiones!$B$1:$I$55</definedName>
    <definedName name="_xlnm.Print_Titles" localSheetId="4">BD_Meduca!$1:$34</definedName>
    <definedName name="_xlnm.Print_Titles" localSheetId="1">BD_PuntosDeAcceso!$1:$1</definedName>
  </definedNames>
  <calcPr calcId="191029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54" i="1" l="1"/>
  <c r="AF53" i="1"/>
  <c r="K2" i="1"/>
  <c r="L2" i="1"/>
  <c r="M2" i="1"/>
  <c r="O2" i="1"/>
  <c r="P2" i="1"/>
  <c r="R2" i="1"/>
  <c r="S2" i="1"/>
  <c r="T2" i="1"/>
  <c r="U2" i="1"/>
  <c r="V2" i="1"/>
  <c r="K3" i="1"/>
  <c r="L3" i="1"/>
  <c r="M3" i="1"/>
  <c r="N3" i="1" s="1"/>
  <c r="O3" i="1"/>
  <c r="P3" i="1"/>
  <c r="R3" i="1"/>
  <c r="S3" i="1"/>
  <c r="T3" i="1"/>
  <c r="U3" i="1"/>
  <c r="V3" i="1"/>
  <c r="K4" i="1"/>
  <c r="L4" i="1"/>
  <c r="N4" i="1" s="1"/>
  <c r="M4" i="1"/>
  <c r="O4" i="1"/>
  <c r="P4" i="1"/>
  <c r="R4" i="1"/>
  <c r="S4" i="1"/>
  <c r="T4" i="1"/>
  <c r="U4" i="1"/>
  <c r="V4" i="1"/>
  <c r="K5" i="1"/>
  <c r="L5" i="1"/>
  <c r="M5" i="1"/>
  <c r="N5" i="1" s="1"/>
  <c r="O5" i="1"/>
  <c r="P5" i="1"/>
  <c r="R5" i="1"/>
  <c r="S5" i="1"/>
  <c r="T5" i="1"/>
  <c r="U5" i="1"/>
  <c r="V5" i="1"/>
  <c r="K6" i="1"/>
  <c r="L6" i="1"/>
  <c r="M6" i="1"/>
  <c r="N6" i="1" s="1"/>
  <c r="O6" i="1"/>
  <c r="P6" i="1"/>
  <c r="R6" i="1"/>
  <c r="S6" i="1"/>
  <c r="T6" i="1"/>
  <c r="U6" i="1"/>
  <c r="V6" i="1"/>
  <c r="K7" i="1"/>
  <c r="L7" i="1"/>
  <c r="M7" i="1"/>
  <c r="O7" i="1"/>
  <c r="P7" i="1"/>
  <c r="K8" i="1"/>
  <c r="L8" i="1"/>
  <c r="M8" i="1"/>
  <c r="O8" i="1"/>
  <c r="P8" i="1"/>
  <c r="K9" i="1"/>
  <c r="L9" i="1"/>
  <c r="N9" i="1" s="1"/>
  <c r="M9" i="1"/>
  <c r="O9" i="1"/>
  <c r="P9" i="1"/>
  <c r="R9" i="1"/>
  <c r="S9" i="1"/>
  <c r="T9" i="1"/>
  <c r="U9" i="1"/>
  <c r="V9" i="1"/>
  <c r="K10" i="1"/>
  <c r="L10" i="1"/>
  <c r="M10" i="1"/>
  <c r="O10" i="1"/>
  <c r="P10" i="1"/>
  <c r="K11" i="1"/>
  <c r="L11" i="1"/>
  <c r="M11" i="1"/>
  <c r="O11" i="1"/>
  <c r="P11" i="1"/>
  <c r="R11" i="1"/>
  <c r="S11" i="1"/>
  <c r="T11" i="1"/>
  <c r="U11" i="1"/>
  <c r="V11" i="1"/>
  <c r="K12" i="1"/>
  <c r="L12" i="1"/>
  <c r="M12" i="1"/>
  <c r="O12" i="1"/>
  <c r="P12" i="1"/>
  <c r="R12" i="1"/>
  <c r="S12" i="1"/>
  <c r="T12" i="1"/>
  <c r="U12" i="1"/>
  <c r="V12" i="1"/>
  <c r="K13" i="1"/>
  <c r="L13" i="1"/>
  <c r="M13" i="1"/>
  <c r="O13" i="1"/>
  <c r="P13" i="1"/>
  <c r="R13" i="1"/>
  <c r="S13" i="1"/>
  <c r="T13" i="1"/>
  <c r="U13" i="1"/>
  <c r="V13" i="1"/>
  <c r="K14" i="1"/>
  <c r="L14" i="1"/>
  <c r="M14" i="1"/>
  <c r="O14" i="1"/>
  <c r="P14" i="1"/>
  <c r="K15" i="1"/>
  <c r="L15" i="1"/>
  <c r="M15" i="1"/>
  <c r="O15" i="1"/>
  <c r="P15" i="1"/>
  <c r="R15" i="1"/>
  <c r="S15" i="1"/>
  <c r="T15" i="1"/>
  <c r="U15" i="1"/>
  <c r="V15" i="1"/>
  <c r="K16" i="1"/>
  <c r="L16" i="1"/>
  <c r="M16" i="1"/>
  <c r="O16" i="1"/>
  <c r="P16" i="1"/>
  <c r="R16" i="1"/>
  <c r="S16" i="1"/>
  <c r="T16" i="1"/>
  <c r="U16" i="1"/>
  <c r="V16" i="1"/>
  <c r="K17" i="1"/>
  <c r="L17" i="1"/>
  <c r="M17" i="1"/>
  <c r="O17" i="1"/>
  <c r="P17" i="1"/>
  <c r="R17" i="1"/>
  <c r="S17" i="1"/>
  <c r="T17" i="1"/>
  <c r="U17" i="1"/>
  <c r="V17" i="1"/>
  <c r="K18" i="1"/>
  <c r="L18" i="1"/>
  <c r="M18" i="1"/>
  <c r="O18" i="1"/>
  <c r="P18" i="1"/>
  <c r="R18" i="1"/>
  <c r="S18" i="1"/>
  <c r="T18" i="1"/>
  <c r="U18" i="1"/>
  <c r="V18" i="1"/>
  <c r="K19" i="1"/>
  <c r="L19" i="1"/>
  <c r="M19" i="1"/>
  <c r="N19" i="1" s="1"/>
  <c r="O19" i="1"/>
  <c r="P19" i="1"/>
  <c r="R19" i="1"/>
  <c r="S19" i="1"/>
  <c r="T19" i="1"/>
  <c r="U19" i="1"/>
  <c r="V19" i="1"/>
  <c r="K20" i="1"/>
  <c r="L20" i="1"/>
  <c r="M20" i="1"/>
  <c r="O20" i="1"/>
  <c r="P20" i="1"/>
  <c r="R20" i="1"/>
  <c r="S20" i="1"/>
  <c r="T20" i="1"/>
  <c r="U20" i="1"/>
  <c r="V20" i="1"/>
  <c r="K21" i="1"/>
  <c r="L21" i="1"/>
  <c r="M21" i="1"/>
  <c r="O21" i="1"/>
  <c r="P21" i="1"/>
  <c r="R21" i="1"/>
  <c r="S21" i="1"/>
  <c r="T21" i="1"/>
  <c r="U21" i="1"/>
  <c r="V21" i="1"/>
  <c r="K22" i="1"/>
  <c r="L22" i="1"/>
  <c r="M22" i="1"/>
  <c r="O22" i="1"/>
  <c r="P22" i="1"/>
  <c r="R22" i="1"/>
  <c r="S22" i="1"/>
  <c r="T22" i="1"/>
  <c r="U22" i="1"/>
  <c r="V22" i="1"/>
  <c r="K23" i="1"/>
  <c r="L23" i="1"/>
  <c r="M23" i="1"/>
  <c r="O23" i="1"/>
  <c r="P23" i="1"/>
  <c r="K24" i="1"/>
  <c r="L24" i="1"/>
  <c r="M24" i="1"/>
  <c r="O24" i="1"/>
  <c r="P24" i="1"/>
  <c r="K25" i="1"/>
  <c r="L25" i="1"/>
  <c r="M25" i="1"/>
  <c r="O25" i="1"/>
  <c r="P25" i="1"/>
  <c r="K26" i="1"/>
  <c r="L26" i="1"/>
  <c r="M26" i="1"/>
  <c r="O26" i="1"/>
  <c r="P26" i="1"/>
  <c r="K27" i="1"/>
  <c r="L27" i="1"/>
  <c r="M27" i="1"/>
  <c r="O27" i="1"/>
  <c r="P27" i="1"/>
  <c r="R27" i="1"/>
  <c r="S27" i="1"/>
  <c r="K28" i="1"/>
  <c r="L28" i="1"/>
  <c r="M28" i="1"/>
  <c r="O28" i="1"/>
  <c r="P28" i="1"/>
  <c r="R28" i="1"/>
  <c r="S28" i="1"/>
  <c r="T28" i="1"/>
  <c r="U28" i="1"/>
  <c r="V28" i="1"/>
  <c r="K29" i="1"/>
  <c r="L29" i="1"/>
  <c r="M29" i="1"/>
  <c r="O29" i="1"/>
  <c r="P29" i="1"/>
  <c r="R29" i="1"/>
  <c r="S29" i="1"/>
  <c r="T29" i="1"/>
  <c r="U29" i="1"/>
  <c r="V29" i="1"/>
  <c r="K30" i="1"/>
  <c r="L30" i="1"/>
  <c r="M30" i="1"/>
  <c r="O30" i="1"/>
  <c r="P30" i="1"/>
  <c r="R30" i="1"/>
  <c r="S30" i="1"/>
  <c r="T30" i="1"/>
  <c r="U30" i="1"/>
  <c r="V30" i="1"/>
  <c r="K31" i="1"/>
  <c r="L31" i="1"/>
  <c r="M31" i="1"/>
  <c r="O31" i="1"/>
  <c r="P31" i="1"/>
  <c r="K32" i="1"/>
  <c r="L32" i="1"/>
  <c r="M32" i="1"/>
  <c r="O32" i="1"/>
  <c r="P32" i="1"/>
  <c r="K33" i="1"/>
  <c r="L33" i="1"/>
  <c r="M33" i="1"/>
  <c r="O33" i="1"/>
  <c r="P33" i="1"/>
  <c r="R33" i="1"/>
  <c r="S33" i="1"/>
  <c r="T33" i="1"/>
  <c r="U33" i="1"/>
  <c r="V33" i="1"/>
  <c r="K34" i="1"/>
  <c r="L34" i="1"/>
  <c r="M34" i="1"/>
  <c r="O34" i="1"/>
  <c r="P34" i="1"/>
  <c r="R34" i="1"/>
  <c r="S34" i="1"/>
  <c r="T34" i="1"/>
  <c r="U34" i="1"/>
  <c r="V34" i="1"/>
  <c r="K35" i="1"/>
  <c r="L35" i="1"/>
  <c r="M35" i="1"/>
  <c r="O35" i="1"/>
  <c r="P35" i="1"/>
  <c r="K36" i="1"/>
  <c r="L36" i="1"/>
  <c r="M36" i="1"/>
  <c r="O36" i="1"/>
  <c r="P36" i="1"/>
  <c r="R36" i="1"/>
  <c r="S36" i="1"/>
  <c r="T36" i="1"/>
  <c r="U36" i="1"/>
  <c r="V36" i="1"/>
  <c r="K37" i="1"/>
  <c r="L37" i="1"/>
  <c r="M37" i="1"/>
  <c r="O37" i="1"/>
  <c r="P37" i="1"/>
  <c r="R37" i="1"/>
  <c r="S37" i="1"/>
  <c r="T37" i="1"/>
  <c r="U37" i="1"/>
  <c r="V37" i="1"/>
  <c r="K38" i="1"/>
  <c r="L38" i="1"/>
  <c r="M38" i="1"/>
  <c r="O38" i="1"/>
  <c r="P38" i="1"/>
  <c r="R38" i="1"/>
  <c r="S38" i="1"/>
  <c r="K39" i="1"/>
  <c r="L39" i="1"/>
  <c r="M39" i="1"/>
  <c r="O39" i="1"/>
  <c r="P39" i="1"/>
  <c r="R39" i="1"/>
  <c r="S39" i="1"/>
  <c r="T39" i="1"/>
  <c r="U39" i="1"/>
  <c r="V39" i="1"/>
  <c r="L40" i="1"/>
  <c r="M40" i="1"/>
  <c r="O40" i="1"/>
  <c r="P40" i="1"/>
  <c r="K41" i="1"/>
  <c r="L41" i="1"/>
  <c r="M41" i="1"/>
  <c r="O41" i="1"/>
  <c r="P41" i="1"/>
  <c r="R41" i="1"/>
  <c r="S41" i="1"/>
  <c r="K42" i="1"/>
  <c r="L42" i="1"/>
  <c r="M42" i="1"/>
  <c r="O42" i="1"/>
  <c r="P42" i="1"/>
  <c r="R42" i="1"/>
  <c r="S42" i="1"/>
  <c r="T42" i="1"/>
  <c r="U42" i="1"/>
  <c r="V42" i="1"/>
  <c r="K43" i="1"/>
  <c r="L43" i="1"/>
  <c r="M43" i="1"/>
  <c r="O43" i="1"/>
  <c r="P43" i="1"/>
  <c r="K44" i="1"/>
  <c r="L44" i="1"/>
  <c r="M44" i="1"/>
  <c r="O44" i="1"/>
  <c r="P44" i="1"/>
  <c r="K45" i="1"/>
  <c r="L45" i="1"/>
  <c r="M45" i="1"/>
  <c r="O45" i="1"/>
  <c r="P45" i="1"/>
  <c r="K46" i="1"/>
  <c r="L46" i="1"/>
  <c r="M46" i="1"/>
  <c r="O46" i="1"/>
  <c r="P46" i="1"/>
  <c r="K47" i="1"/>
  <c r="L47" i="1"/>
  <c r="M47" i="1"/>
  <c r="O47" i="1"/>
  <c r="P47" i="1"/>
  <c r="K48" i="1"/>
  <c r="L48" i="1"/>
  <c r="M48" i="1"/>
  <c r="O48" i="1"/>
  <c r="P48" i="1"/>
  <c r="R48" i="1"/>
  <c r="S48" i="1"/>
  <c r="T48" i="1"/>
  <c r="U48" i="1"/>
  <c r="V48" i="1"/>
  <c r="L49" i="1"/>
  <c r="M49" i="1"/>
  <c r="O49" i="1"/>
  <c r="P49" i="1"/>
  <c r="K50" i="1"/>
  <c r="L50" i="1"/>
  <c r="M50" i="1"/>
  <c r="O50" i="1"/>
  <c r="P50" i="1"/>
  <c r="K51" i="1"/>
  <c r="L51" i="1"/>
  <c r="M51" i="1"/>
  <c r="O51" i="1"/>
  <c r="P51" i="1"/>
  <c r="K52" i="1"/>
  <c r="L52" i="1"/>
  <c r="M52" i="1"/>
  <c r="O52" i="1"/>
  <c r="P52" i="1"/>
  <c r="R52" i="1"/>
  <c r="S52" i="1"/>
  <c r="T52" i="1"/>
  <c r="U52" i="1"/>
  <c r="V52" i="1"/>
  <c r="K53" i="1"/>
  <c r="L53" i="1"/>
  <c r="M53" i="1"/>
  <c r="N53" i="1" s="1"/>
  <c r="O53" i="1"/>
  <c r="P53" i="1"/>
  <c r="L54" i="1"/>
  <c r="M54" i="1"/>
  <c r="O54" i="1"/>
  <c r="P54" i="1"/>
  <c r="K55" i="1"/>
  <c r="L55" i="1"/>
  <c r="N28" i="1" l="1"/>
  <c r="N37" i="1"/>
  <c r="N22" i="1"/>
  <c r="N27" i="1"/>
  <c r="N54" i="1"/>
  <c r="N40" i="1"/>
  <c r="N48" i="1"/>
  <c r="N38" i="1"/>
  <c r="N17" i="1"/>
  <c r="N39" i="1"/>
  <c r="N20" i="1"/>
  <c r="N11" i="1"/>
  <c r="N50" i="1"/>
  <c r="N32" i="1"/>
  <c r="N23" i="1"/>
  <c r="N7" i="1"/>
  <c r="N26" i="1"/>
  <c r="N13" i="1"/>
  <c r="N42" i="1"/>
  <c r="N51" i="1"/>
  <c r="N33" i="1"/>
  <c r="N47" i="1"/>
  <c r="N52" i="1"/>
  <c r="N45" i="1"/>
  <c r="N31" i="1"/>
  <c r="N25" i="1"/>
  <c r="AF55" i="1"/>
  <c r="N41" i="1"/>
  <c r="N34" i="1"/>
  <c r="N29" i="1"/>
  <c r="N36" i="1"/>
  <c r="N15" i="1"/>
  <c r="N44" i="1"/>
  <c r="N18" i="1"/>
  <c r="N12" i="1"/>
  <c r="N10" i="1"/>
  <c r="N8" i="1"/>
  <c r="N24" i="1"/>
  <c r="N16" i="1"/>
  <c r="N14" i="1"/>
  <c r="N49" i="1"/>
  <c r="N2" i="1"/>
  <c r="N35" i="1"/>
  <c r="N46" i="1"/>
  <c r="N43" i="1"/>
  <c r="N30" i="1"/>
  <c r="N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Yisuri Yitzel Higuero Chan</author>
  </authors>
  <commentLis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Yisuri Yitzel Higuero Chan:</t>
        </r>
        <r>
          <rPr>
            <sz val="9"/>
            <color indexed="81"/>
            <rFont val="Tahoma"/>
            <family val="2"/>
          </rPr>
          <t xml:space="preserve">
Según decretos: Decreto Ejecutivo 446 del 21 de noviembre de 2006 y Decreto Ejecutivo 323 del 18 de octubre de 2007, la denominación es Regional Escolar y Circuito Escolar.   </t>
        </r>
      </text>
    </comment>
  </commentList>
</comments>
</file>

<file path=xl/sharedStrings.xml><?xml version="1.0" encoding="utf-8"?>
<sst xmlns="http://schemas.openxmlformats.org/spreadsheetml/2006/main" count="1968" uniqueCount="426">
  <si>
    <t>Región</t>
  </si>
  <si>
    <t>PA</t>
  </si>
  <si>
    <t>Nombre</t>
  </si>
  <si>
    <t>Provincia</t>
  </si>
  <si>
    <t>Distrito</t>
  </si>
  <si>
    <t>Corregimiento</t>
  </si>
  <si>
    <t>Tipo UM</t>
  </si>
  <si>
    <t>Latitud</t>
  </si>
  <si>
    <t>Longitud</t>
  </si>
  <si>
    <t>Fecha de Activación</t>
  </si>
  <si>
    <t>Col. Sec. de Almirante</t>
  </si>
  <si>
    <t>Bocas del Toro</t>
  </si>
  <si>
    <t>Almirante</t>
  </si>
  <si>
    <t>Puerto Almirante</t>
  </si>
  <si>
    <t>FO</t>
  </si>
  <si>
    <t>10/07/2017</t>
  </si>
  <si>
    <t>Escuela Almirante</t>
  </si>
  <si>
    <t>28/06/2017</t>
  </si>
  <si>
    <t>Escuela Barriada Guaymi</t>
  </si>
  <si>
    <t>30/06/2017</t>
  </si>
  <si>
    <t>Escuela Berta López</t>
  </si>
  <si>
    <t>29/06/2017</t>
  </si>
  <si>
    <t>Escuela Miraflores</t>
  </si>
  <si>
    <t>Escuela Nuevo Paraíso</t>
  </si>
  <si>
    <t>Colegio Rogelio Josué Ibarra</t>
  </si>
  <si>
    <t>12/07/2017</t>
  </si>
  <si>
    <t>Escuela República de Nicaragua</t>
  </si>
  <si>
    <t>Parque Simón Bolívar</t>
  </si>
  <si>
    <t>Bomberos Isla Colon</t>
  </si>
  <si>
    <t>23/11/2017</t>
  </si>
  <si>
    <t>Autoridad de Turismo de Panamá</t>
  </si>
  <si>
    <t>Hospital Guillermo Sánchez Borbón</t>
  </si>
  <si>
    <t>BDA</t>
  </si>
  <si>
    <t>Changuinola</t>
  </si>
  <si>
    <t>Escuela Finca 41</t>
  </si>
  <si>
    <t>27/06/2017</t>
  </si>
  <si>
    <t>Hospital Changuinola</t>
  </si>
  <si>
    <t>Instituto Profesional y técnico de Bocas del Toro</t>
  </si>
  <si>
    <t>HFC</t>
  </si>
  <si>
    <t>26/06/2017</t>
  </si>
  <si>
    <t>Palacio Municipal Changuinola</t>
  </si>
  <si>
    <t>Parque de la escuela de changuinola</t>
  </si>
  <si>
    <t>11/07/2017</t>
  </si>
  <si>
    <t>Policia de la Niñez y Adolescencia</t>
  </si>
  <si>
    <t>Terminal de Transporte Sincotavecop</t>
  </si>
  <si>
    <t>C.E.B.G. Finca 32</t>
  </si>
  <si>
    <t>C.E.B.G. FINCA 62</t>
  </si>
  <si>
    <t>PTP</t>
  </si>
  <si>
    <t>Escuela Finca 43</t>
  </si>
  <si>
    <t>Escuela Finca 44</t>
  </si>
  <si>
    <t>Escuela Finca 64</t>
  </si>
  <si>
    <t>02/08/2017</t>
  </si>
  <si>
    <t>Escuela Finca 67</t>
  </si>
  <si>
    <t>C.E.B.G. Finca 04</t>
  </si>
  <si>
    <t>El Empalme</t>
  </si>
  <si>
    <t>Cuartel de Bomberos del Empalme</t>
  </si>
  <si>
    <t>Escuela El Empalme</t>
  </si>
  <si>
    <t>Escuela El Silencio</t>
  </si>
  <si>
    <t>Escuela Finca 3</t>
  </si>
  <si>
    <t>Satelital</t>
  </si>
  <si>
    <t>19/12/2017</t>
  </si>
  <si>
    <t>I.P.T. EL SILENCIO</t>
  </si>
  <si>
    <t>Universidad de Panamá El Empalme</t>
  </si>
  <si>
    <t>Universidad de Panamá- Sede Agropecuaria</t>
  </si>
  <si>
    <t>UTP El Empalme</t>
  </si>
  <si>
    <t>C.E.B.G. Guabito</t>
  </si>
  <si>
    <t>Guabito</t>
  </si>
  <si>
    <t>Colegio Secundario de Guabito</t>
  </si>
  <si>
    <t>Escuela Finca 41 Guabito</t>
  </si>
  <si>
    <t>Escuela Finca 54</t>
  </si>
  <si>
    <t>Escuela Finca Débora</t>
  </si>
  <si>
    <t>03/08/2017</t>
  </si>
  <si>
    <t>Escuela Puente blanco</t>
  </si>
  <si>
    <t>Escuela San San Medio (Anexa)</t>
  </si>
  <si>
    <t>Policlínica de Guabito CSS</t>
  </si>
  <si>
    <t>Escuela Finca 66</t>
  </si>
  <si>
    <t>CEBG Nievecita</t>
  </si>
  <si>
    <t>Las Tablas</t>
  </si>
  <si>
    <t>MIDES Changuinola</t>
  </si>
  <si>
    <t>05/06/2019</t>
  </si>
  <si>
    <t>Policía Nacional Changuinola</t>
  </si>
  <si>
    <t>C.E.B.G. Dionisia G. de Ayarza</t>
  </si>
  <si>
    <t>Chiriquí Grande</t>
  </si>
  <si>
    <t>I.P.T. Chiriquí Grande</t>
  </si>
  <si>
    <t>Municipio Chiriquí Grande (Cabecera)</t>
  </si>
  <si>
    <t>C.E.B.G. PUNTA PEÑA</t>
  </si>
  <si>
    <t>Punta Peña</t>
  </si>
  <si>
    <t>Escuela Cañazas</t>
  </si>
  <si>
    <t>Parque de Rambala</t>
  </si>
  <si>
    <t>Rambala</t>
  </si>
  <si>
    <t>HOSPITAL DE CHIRIQUI GRANDE</t>
  </si>
  <si>
    <t>18/09/2018</t>
  </si>
  <si>
    <t>AMP - Isla Colón</t>
  </si>
  <si>
    <t>Datos (GB)</t>
  </si>
  <si>
    <t>Sí</t>
  </si>
  <si>
    <t>C&amp;W Panamá</t>
  </si>
  <si>
    <t>No</t>
  </si>
  <si>
    <t>Mercado de Artesanias</t>
  </si>
  <si>
    <t>Disponible</t>
  </si>
  <si>
    <t>Proveedor</t>
  </si>
  <si>
    <t xml:space="preserve">Total </t>
  </si>
  <si>
    <t>PRIMARIA</t>
  </si>
  <si>
    <t>NO ESPECIFICADO</t>
  </si>
  <si>
    <t>NO</t>
  </si>
  <si>
    <t>ACTIVA</t>
  </si>
  <si>
    <t>OFICIAL</t>
  </si>
  <si>
    <t xml:space="preserve">No </t>
  </si>
  <si>
    <t>RURAL</t>
  </si>
  <si>
    <t>BOCAS DEL TORO</t>
  </si>
  <si>
    <t>ALMIRANTE</t>
  </si>
  <si>
    <t>SUBSISTEMA EDJA</t>
  </si>
  <si>
    <t>SI</t>
  </si>
  <si>
    <t>INDIGENA</t>
  </si>
  <si>
    <t>PREESCOLAR-PRIMARIA</t>
  </si>
  <si>
    <t>SUBSISTEMA REGULAR</t>
  </si>
  <si>
    <t>COMERCIO</t>
  </si>
  <si>
    <t>PREESCOLAR-PRIMARIA-PREMEDIA-MEDIA PROFESIONAL Y TÉCNICA</t>
  </si>
  <si>
    <t>VALLE DE AGUAS ARRIBA</t>
  </si>
  <si>
    <t>PREESCOLAR-PRIMARIA-PREMEDIA</t>
  </si>
  <si>
    <t>DEC. 20 DE 31 DE ENERO DE 1972</t>
  </si>
  <si>
    <t>El dect. 418 de 30 de agosto de 1961 crea la escuela Valle de Agua, en el municipio de Bocas del Toro</t>
  </si>
  <si>
    <t>DEC. 418 DE 30 DE AGOSTO DE 1961</t>
  </si>
  <si>
    <t>CHIRIQUÍ GRANDE</t>
  </si>
  <si>
    <t>DEC.415 DEL 23 DE AGOSTO DE 1963</t>
  </si>
  <si>
    <t>PREMEDIA</t>
  </si>
  <si>
    <t>ESC. BILINGÜE CAÑAZAS</t>
  </si>
  <si>
    <t>PUNTA LAUREL</t>
  </si>
  <si>
    <t>DEC.104 DE 13 DE JUNIO DE 1949</t>
  </si>
  <si>
    <t>que crea los centros educativos que implementan el Programa de Educacion Premedia y Media con metodologia Escuela Nueva Escuela Activa (ENEA)</t>
  </si>
  <si>
    <t>CHANGUINOLA</t>
  </si>
  <si>
    <t>ESC. MIRAFLORES</t>
  </si>
  <si>
    <t>CIENCIAS</t>
  </si>
  <si>
    <t xml:space="preserve">C.E.B.G. BILINGÜE  NIEVECITA  </t>
  </si>
  <si>
    <t>LAS DELICIAS</t>
  </si>
  <si>
    <t>LA GLORIA</t>
  </si>
  <si>
    <t>NASO</t>
  </si>
  <si>
    <t>URBANA</t>
  </si>
  <si>
    <t>ESC. PUENTE BLANCO</t>
  </si>
  <si>
    <t>ESC. FINCA 41 ANEXA GUABITO</t>
  </si>
  <si>
    <t>COLEGIO SECUNDARIO DE GUABITO</t>
  </si>
  <si>
    <t>C.E.B.G. BILINGÜE GUABITO</t>
  </si>
  <si>
    <t>ESC. FINCA 67</t>
  </si>
  <si>
    <t>ESC. BILINGÜE  FINCA 66</t>
  </si>
  <si>
    <t>ESC. FINCA 64</t>
  </si>
  <si>
    <t>C.E.B.G. BILINGÜE FINCA 62</t>
  </si>
  <si>
    <t>ESC. FINCA 54</t>
  </si>
  <si>
    <t>C.E.B.G. BILINGÜE FINCA 04</t>
  </si>
  <si>
    <t>ESC. SAN SAN MEDIO ANEXA</t>
  </si>
  <si>
    <t>ESC. BILINGÜE  FINCA 32</t>
  </si>
  <si>
    <t>DEC.  446 DEL 14 DE AGOSTO DE 2018 INCORPORA LA DENOMINACION BILINGÜE AL NOMBRE</t>
  </si>
  <si>
    <t>FINCA 06</t>
  </si>
  <si>
    <t>ESC. FINCA 43</t>
  </si>
  <si>
    <t xml:space="preserve">CIENCIAS, AUTOTRONICA, ELECTRICIDAD ELECTRÓNICA ,TECN.MECÁNICA, CONSTRUCCION SERV.Y GEST INST,  EBANISTERIA </t>
  </si>
  <si>
    <t>PREMEDIA-MEDIA ACADÉMICA-MEDIA PROFESIONAL Y TÉCNICA</t>
  </si>
  <si>
    <t>El dect. 87 de 23 de mayo de 1970 crea el Primer Ciclo de Changuinola.  El dect.  99 de 5 de mayo de 1986 fusiona los colegios I.P.T. de Bocas del Toro y el Primer Ciclo de Changuinola</t>
  </si>
  <si>
    <t xml:space="preserve">DEC. 87 DE 23 DE MAYO DE 1970 </t>
  </si>
  <si>
    <t>I.P.T. BOCAS DEL TORO</t>
  </si>
  <si>
    <t>DEC.763 DE 9 DE DICIEMBRE DE 1969</t>
  </si>
  <si>
    <t>ESC. FINCA 44</t>
  </si>
  <si>
    <t>EL TERIBE</t>
  </si>
  <si>
    <t>ESC. BILINGÜE EL SILENCIO</t>
  </si>
  <si>
    <t>ESC. FINCA 03</t>
  </si>
  <si>
    <t>C.E.B.G. BILINGÜE EL EMPALME</t>
  </si>
  <si>
    <t>DEC. 128, DEL 3 DE MARZO DEL 2017 QUE CREA EL C.E.B.G. LAS PIÑAS</t>
  </si>
  <si>
    <t>I.P.T. CHIRIQUI GRANDE</t>
  </si>
  <si>
    <t>PREESCOLAR-PRIMARIA-PREMEDIA-MEDIA ACADÉMICA</t>
  </si>
  <si>
    <t>ESC. BILINGÜE DIONISIA G. DE AYARZA</t>
  </si>
  <si>
    <t>PREMEDIA- MEDIA</t>
  </si>
  <si>
    <t>PARTICULAR</t>
  </si>
  <si>
    <t>CIENCIAS, HUMANIDADES, COMERCIO</t>
  </si>
  <si>
    <t>RES.4642 DEL 22 DE SEP. 2021 POR EL CUAL AUTORIZA FUNCIONAMIENTO</t>
  </si>
  <si>
    <t> PREMEDIA-MEDIA ACADÉMICA</t>
  </si>
  <si>
    <t>ESC. FINCA 41</t>
  </si>
  <si>
    <t>CAUCHERO</t>
  </si>
  <si>
    <t>ESC. BILINGÜE REPUBLICA DE NICARAGUA</t>
  </si>
  <si>
    <t>COLEGIO ROGELIO JOSUÉ IBARRA</t>
  </si>
  <si>
    <t>El dect. 18 de 19 de abril  de 1915 crea la escuela Alternada de Boca del Drago</t>
  </si>
  <si>
    <t>DEC.18 DE 19 DE ABRIL DE 1915</t>
  </si>
  <si>
    <t>DEC. 1071 DEL 25 DE NOVIEMBRE DE 2016</t>
  </si>
  <si>
    <t>ESC. NUEVO PARAISO</t>
  </si>
  <si>
    <t>ESC. BARRIADA GUAYMI</t>
  </si>
  <si>
    <t>BAJO CULUBRE</t>
  </si>
  <si>
    <t>El dect. 418 de 30 de agosto de 1961 crea la escuela RIO DEL OESTE</t>
  </si>
  <si>
    <t>DEC. 718 DE 30 DE AGOSTO DE 1961</t>
  </si>
  <si>
    <t>ESC. BILINGÜE BERTA LOPEZ</t>
  </si>
  <si>
    <t>COLEGIO SECUNDARIO DE ALMIRANTE</t>
  </si>
  <si>
    <t>ESC. ALMIRANTE</t>
  </si>
  <si>
    <t>Bachiller</t>
  </si>
  <si>
    <t>Oferta 2023</t>
  </si>
  <si>
    <t>Otros Decretos relacionados(Cambio de nombre, ampliacion, cierre)</t>
  </si>
  <si>
    <t>Decretos (Creación, funcionamiento, cambio nombre, ampliación)</t>
  </si>
  <si>
    <t>Indigena</t>
  </si>
  <si>
    <t>Estatus</t>
  </si>
  <si>
    <t>Dependencia</t>
  </si>
  <si>
    <t>Áreas Comarcales</t>
  </si>
  <si>
    <t>Área</t>
  </si>
  <si>
    <t>Región Escolar</t>
  </si>
  <si>
    <t>Nombre del Centro Educativo</t>
  </si>
  <si>
    <t>Marco Muestral -Sistema Educativo</t>
  </si>
  <si>
    <t>Cantidad de Sesiones</t>
  </si>
  <si>
    <t>Disponibilidad del Punto de Acceso</t>
  </si>
  <si>
    <t>Promedio de Datos Consumidos por Sesión (MB)</t>
  </si>
  <si>
    <t>Indígena</t>
  </si>
  <si>
    <t>Nivel Educativo (Oferta 2023)</t>
  </si>
  <si>
    <t>Nombres de Centros Educativos (MEDUCA)</t>
  </si>
  <si>
    <t>Nombre               (Punto de Acceso)</t>
  </si>
  <si>
    <t>Grand Total</t>
  </si>
  <si>
    <t>TABLA DE RESULTADOS</t>
  </si>
  <si>
    <t>Datos Consumidos (GB)</t>
  </si>
  <si>
    <t>Puntos de Acceso</t>
  </si>
  <si>
    <t>Sesiones</t>
  </si>
  <si>
    <t>Distritos y sus Centros Educativos</t>
  </si>
  <si>
    <t>Gran Total</t>
  </si>
  <si>
    <t>Distritos</t>
  </si>
  <si>
    <t>Datos para las Gráficas</t>
  </si>
  <si>
    <t># de Sesiones</t>
  </si>
  <si>
    <t>Promedio de Consumo (MB)</t>
  </si>
  <si>
    <t>Tiempo Activo (Años)</t>
  </si>
  <si>
    <t>Tipo de Conexión</t>
  </si>
  <si>
    <t>Cantidades</t>
  </si>
  <si>
    <t>FO (Fibra Óptica)</t>
  </si>
  <si>
    <t>PTP (Punto a Punto)</t>
  </si>
  <si>
    <t>HFC (Híbrido de Fibra Coaxial)</t>
  </si>
  <si>
    <t>Avg. de Datos Consumidos por Sesión (MB)</t>
  </si>
  <si>
    <t>Otras Instituciones</t>
  </si>
  <si>
    <t xml:space="preserve"> TERMINACION PRIMARIA NIEVECITA</t>
  </si>
  <si>
    <t>C.E.B.G. BAJO  CEDRO</t>
  </si>
  <si>
    <t>C.E.B.G. BILINGÜE CHANGUINOLA</t>
  </si>
  <si>
    <t>C.E.B.G. BILINGÜE MARIANO THOMAS</t>
  </si>
  <si>
    <t>C.E.B.G. BILINGÜE VALLE DE RISCO</t>
  </si>
  <si>
    <t>C.E.B.G. LA GLORIA</t>
  </si>
  <si>
    <t>C.E.B.G. LA MINA</t>
  </si>
  <si>
    <t>C.E.B.G. LAS PIÑAS</t>
  </si>
  <si>
    <t>C.E.B.G. NANCE DE RISCO</t>
  </si>
  <si>
    <t>C.E.B.G. QUEBRADA PASTOR</t>
  </si>
  <si>
    <t>C.E.B.G. SANTA MARTA ABAJO</t>
  </si>
  <si>
    <t>C.E.B.G. SIEYICK</t>
  </si>
  <si>
    <t>C.E.B.G. TRES PIEDRAS</t>
  </si>
  <si>
    <t>CAIPI MIS PRIMEROS PASOS DE TEOBROMA</t>
  </si>
  <si>
    <t>CENTRO DE ESTUDIOS SUPERIORES DE BELLAS ARTES Y FOLKLORE DE CHANGUINOLA</t>
  </si>
  <si>
    <t>CENTRO EDUCATIVO LUIS AMIGÓ</t>
  </si>
  <si>
    <t>CENTRO EDUCATIVO OFICIAL NOCTURNO DE ALMIRANTE</t>
  </si>
  <si>
    <t>CENTRO LABORAL NOCTURNO CHIRIQUI GRANDE (ESNOCH)</t>
  </si>
  <si>
    <t>CENTRO OFICIAL NOCTURNO  DE GUABITO</t>
  </si>
  <si>
    <t>CENTRO PARTICULAR MULTICULTURAL INTERNATIONAL SCHOOL DR. ANDRÉS CULIOLIS BAYARD (ANTES CENTRO EDUCATIVO EVANGELICO CUADRANGULAR BET-EL, ISLA COLÓN)</t>
  </si>
  <si>
    <t>COIF ESTADO DE ISRAEL</t>
  </si>
  <si>
    <t>COIF FROEBELIN</t>
  </si>
  <si>
    <t>COLEGIO ADVENTISTA BILINGÜE DE CHANGUINOLA</t>
  </si>
  <si>
    <t>COLEGIO SAN MARCOS</t>
  </si>
  <si>
    <t>COLEGIO SECUNDARIO NIEVECITA</t>
  </si>
  <si>
    <t>EDJA GUABITO</t>
  </si>
  <si>
    <t>EDJA QUEBRADA PINZON</t>
  </si>
  <si>
    <t>ESC.  BELLA VISTA</t>
  </si>
  <si>
    <t>ESC.  CHANGUINOLA AMERICAN  ACADEMY</t>
  </si>
  <si>
    <t>ESC. ADVENTISTA BILINGÜE  DE ALMIRANTE</t>
  </si>
  <si>
    <t>ESC. AGUA SALUD</t>
  </si>
  <si>
    <t>ESC. AGUACATE</t>
  </si>
  <si>
    <t>ESC. ALTO CAÑA</t>
  </si>
  <si>
    <t>ESC. ALTO DE YORKIN</t>
  </si>
  <si>
    <t>ESC. ALTO DOS CAÑOS ANEXA</t>
  </si>
  <si>
    <t>ESC. ALTO LA GLORIA</t>
  </si>
  <si>
    <t>ESC. ALTO PITA</t>
  </si>
  <si>
    <t>ESC. ALTO REFUGIO</t>
  </si>
  <si>
    <t>ESC. ALTO ROMERO</t>
  </si>
  <si>
    <t>ESC. ALTO SORI</t>
  </si>
  <si>
    <t>ESC. ARCELIO A. FITZGERAL</t>
  </si>
  <si>
    <t>ESC. BAHIA GRANDE</t>
  </si>
  <si>
    <t>ESC. BAHIA HONDA</t>
  </si>
  <si>
    <t>ESC. BAHIA LA BALLENA</t>
  </si>
  <si>
    <t>ESC. BAHIA ROJA</t>
  </si>
  <si>
    <t>ESC. BAJO CULUBRE</t>
  </si>
  <si>
    <t>ESC. BAJO GAVILAN</t>
  </si>
  <si>
    <t>ESC. BAJO LA ESPERANZA</t>
  </si>
  <si>
    <t>ESC. BAJO SORI</t>
  </si>
  <si>
    <t>ESC. BARRANCO MEDIO</t>
  </si>
  <si>
    <t>ESC. BASTIMENTO</t>
  </si>
  <si>
    <t>ESC. BILINGÜE 4 DE ABRIL</t>
  </si>
  <si>
    <t>ESC. BILINGÜE BARRANCO ADENTRO</t>
  </si>
  <si>
    <t>ESC. BILINGÜE FINCA 41</t>
  </si>
  <si>
    <t>ESC. BILINGÜE TEOBROMA</t>
  </si>
  <si>
    <t>ESC. BISIRA Nº3 ANEXA QDA. CANELA</t>
  </si>
  <si>
    <t>ESC. BOCA DE DRAGO</t>
  </si>
  <si>
    <t>ESC. BOCA DE YORKIN</t>
  </si>
  <si>
    <t>ESC. BOCA DE YORKIN ANEXA</t>
  </si>
  <si>
    <t>ESC. BOCATORITO</t>
  </si>
  <si>
    <t xml:space="preserve">ESC. BONYICK </t>
  </si>
  <si>
    <t>ESC. BUENA ESPERANZA</t>
  </si>
  <si>
    <t>ESC. BUENA SELVA</t>
  </si>
  <si>
    <t>ESC. CABLE VIA</t>
  </si>
  <si>
    <t>ESC. CARENERO</t>
  </si>
  <si>
    <t>ESC. CAUCHERO ARRIBA</t>
  </si>
  <si>
    <t>ESC. CAYO DE AGUA</t>
  </si>
  <si>
    <t>ESC. CERRO BRUJO</t>
  </si>
  <si>
    <t>ESC. CERRO PALMA</t>
  </si>
  <si>
    <t>ESC. CHANGUINOLA ARRIBA</t>
  </si>
  <si>
    <t>ESC. CHARAGRE</t>
  </si>
  <si>
    <t>ESC. CHARCO LA PAVA</t>
  </si>
  <si>
    <t>ESC. CHIRIQUICITO Nº1</t>
  </si>
  <si>
    <t>ESC. CHIRIQUICITO Nº2</t>
  </si>
  <si>
    <t>ESC. COCHIGRO</t>
  </si>
  <si>
    <t>ESC. COLONIA SANTEÑA</t>
  </si>
  <si>
    <t>ESC. CORRIENTE GRANDE</t>
  </si>
  <si>
    <t>ESC. CUN KING</t>
  </si>
  <si>
    <t>ESC. DEBORÁ</t>
  </si>
  <si>
    <t>ESC. DIONICIA AYARZA</t>
  </si>
  <si>
    <t>ESC. DOS CAÑOS</t>
  </si>
  <si>
    <t>ESC. DOS CAÑOS ABAJO</t>
  </si>
  <si>
    <t>ESC. DOS CAÑOS ANEXA</t>
  </si>
  <si>
    <t>ESC. EL ESCOBAL</t>
  </si>
  <si>
    <t>ESC. FINCA 02</t>
  </si>
  <si>
    <t>ESC. FINCA 11</t>
  </si>
  <si>
    <t>ESC. FINCA 15</t>
  </si>
  <si>
    <t>ESC. FINCA 4</t>
  </si>
  <si>
    <t>ESC. FINCA 61</t>
  </si>
  <si>
    <t>ESC. FINCA CALIFORNIA</t>
  </si>
  <si>
    <t>ESC. GUAYACAN</t>
  </si>
  <si>
    <t>ESC. ISLA POPA Nº1</t>
  </si>
  <si>
    <t>ESC. ISLA POPA Nº2</t>
  </si>
  <si>
    <t>ESC. ISLA TIGRE</t>
  </si>
  <si>
    <t>ESC. ISLA VENADO</t>
  </si>
  <si>
    <t>ESC. JOBITO ROJO</t>
  </si>
  <si>
    <t>ESC. LA CEIBA</t>
  </si>
  <si>
    <t>ESC. LA CONGA</t>
  </si>
  <si>
    <t>ESC. LAS CAÑAS</t>
  </si>
  <si>
    <t>ESC. LAS PALMITAS</t>
  </si>
  <si>
    <t>ESC. LOMA AZUL</t>
  </si>
  <si>
    <t xml:space="preserve">ESC. LOMA BANDERA </t>
  </si>
  <si>
    <t>ESC. LOMA BONITA</t>
  </si>
  <si>
    <t>ESC. LOMA ESTRELLA</t>
  </si>
  <si>
    <t>ESC. LOMA MULETO</t>
  </si>
  <si>
    <t>ESC. LOMA PARTIDA</t>
  </si>
  <si>
    <t>ESC. LOS CHIRICANOS</t>
  </si>
  <si>
    <t>ESC. LOS HIGUERONES</t>
  </si>
  <si>
    <t>ESC. LOS MOLEJONES</t>
  </si>
  <si>
    <t>ESC. LUIS FLORES</t>
  </si>
  <si>
    <t>ESC. MILLA 03</t>
  </si>
  <si>
    <t>ESC. MILLA 05</t>
  </si>
  <si>
    <t>ESC. MILLA 10</t>
  </si>
  <si>
    <t>ESC. MILLA 7 1/2</t>
  </si>
  <si>
    <t>ESC. MIRAMAR</t>
  </si>
  <si>
    <t>ESC. NUEVA ESTRELLA</t>
  </si>
  <si>
    <t>ESC. NUEVA ZELANDIA</t>
  </si>
  <si>
    <t>ESC. OJO DE AGUA</t>
  </si>
  <si>
    <t>ESC. ORIENTE DE RISCO</t>
  </si>
  <si>
    <t>ESC. PALMA REAL</t>
  </si>
  <si>
    <t>ESC. PALO SECO</t>
  </si>
  <si>
    <t>ESC. PUNTA LAUREL</t>
  </si>
  <si>
    <t>ESC. PUNTA PEÑA DE RISCO</t>
  </si>
  <si>
    <t>ESC. PUNTA ROBALO</t>
  </si>
  <si>
    <t>ESC. QUEBRADA BANANO</t>
  </si>
  <si>
    <t>ESC. QUEBRADA CACAO</t>
  </si>
  <si>
    <t>ESC. QUEBRADA CANELA</t>
  </si>
  <si>
    <t>ESC. QUEBRADA DE GARZA</t>
  </si>
  <si>
    <t>ESC. QUEBRADA EL BAJO</t>
  </si>
  <si>
    <t>ESC. QUEBRADA GUABO</t>
  </si>
  <si>
    <t>ESC. QUEBRADA HUACA</t>
  </si>
  <si>
    <t>ESC. QUEBRADA LIMON</t>
  </si>
  <si>
    <t>ESC. QUEBRADA MONO</t>
  </si>
  <si>
    <t>ESC. QUEBRADA PINZON</t>
  </si>
  <si>
    <t>ESC. QUEBRADA PISCINA</t>
  </si>
  <si>
    <t>ESC. QUEBRADA PITA</t>
  </si>
  <si>
    <t>ESC. QUEBRADA PITTI</t>
  </si>
  <si>
    <t>ESC. QUEBRADA PLATANO</t>
  </si>
  <si>
    <t>ESC. QUEBRADA PLUMA</t>
  </si>
  <si>
    <t>ESC. QUEBRADA PUEBLO</t>
  </si>
  <si>
    <t>ESC. QUEBRADA PUERCO</t>
  </si>
  <si>
    <t>ESC. QUEBRADA SAL</t>
  </si>
  <si>
    <t>ESC. RAMBALA</t>
  </si>
  <si>
    <t>ESC. RENACIMIENTO</t>
  </si>
  <si>
    <t>ESC. RÍO AUYAMA</t>
  </si>
  <si>
    <t>ESC. RÍO OESTE ABAJO</t>
  </si>
  <si>
    <t>ESC. RÍO OESTE ARRIBA</t>
  </si>
  <si>
    <t>ESC. SAN CRISTOBAL</t>
  </si>
  <si>
    <t>ESC. SAN JUAN</t>
  </si>
  <si>
    <t>ESC. SAN SAN</t>
  </si>
  <si>
    <t xml:space="preserve">ESC. SAN SAN DRURY </t>
  </si>
  <si>
    <t>ESC. SAN SAN MEDIO</t>
  </si>
  <si>
    <t>ESC. SAN SAN MONA</t>
  </si>
  <si>
    <t>ESC. SAN SAN TIGRA</t>
  </si>
  <si>
    <t>ESC. SANTA CLARA</t>
  </si>
  <si>
    <t>ESC. SANTA MARTA ARRIBA</t>
  </si>
  <si>
    <t>ESC. SANTA ROSA</t>
  </si>
  <si>
    <t>ESC. SECRETARIO</t>
  </si>
  <si>
    <t xml:space="preserve">ESC. SIEKING </t>
  </si>
  <si>
    <t>ESC. SILOE</t>
  </si>
  <si>
    <t>ESC. SOLARTE</t>
  </si>
  <si>
    <t>ESC. SOLEDAD DEL VALLE DE RISCO</t>
  </si>
  <si>
    <t xml:space="preserve">ESC. SOLON </t>
  </si>
  <si>
    <t>ESC. SÚRSUBA</t>
  </si>
  <si>
    <t>ESC. TANGERINE</t>
  </si>
  <si>
    <t>ESC. TIBITE</t>
  </si>
  <si>
    <t>ESC. TIERRA OSCURA</t>
  </si>
  <si>
    <t>ESC. VALLE DE AGUA ABAJO</t>
  </si>
  <si>
    <t>ESC. VALLE DE AGUA ARRIBA</t>
  </si>
  <si>
    <t>ESC. VALLE DE LAS PERLAS</t>
  </si>
  <si>
    <t>ESC. VALLE ESCONDIDO</t>
  </si>
  <si>
    <t>ESC. VALLE JUNQUITO</t>
  </si>
  <si>
    <t>ESC. VALLE LIBRE</t>
  </si>
  <si>
    <t>ESC. VALLE REY</t>
  </si>
  <si>
    <t>ESC. VALLE SECO</t>
  </si>
  <si>
    <t xml:space="preserve">ESC. ZEGLA </t>
  </si>
  <si>
    <t>ESC.SEC.NOCTURNA OFICIAL CHANGUINOLA</t>
  </si>
  <si>
    <t>EVANGELICO BET-EL CHANGUINOLA</t>
  </si>
  <si>
    <t>INSTITUTO  BILINGÜE DE CHANGUINOLA SWICHE 4</t>
  </si>
  <si>
    <t>INSTITUTO INTEGRAL DEL EXITO</t>
  </si>
  <si>
    <t>INSTITUTO NUEVA LUZ</t>
  </si>
  <si>
    <t>IPHE EXTENCIÓN DE BOCAS DEL TORO</t>
  </si>
  <si>
    <t>LABORAL ALMIRANTE</t>
  </si>
  <si>
    <t>LABORAL CHANGUINOLA</t>
  </si>
  <si>
    <t>PENITENCIARIA LIBERTAD DEL ALMA -EXT. ESNO DE CHANGUINOLA</t>
  </si>
  <si>
    <t>TELE EDUCACIÓN BASTIMENTO</t>
  </si>
  <si>
    <t>TELE EDUCACION DOS CAÑOS</t>
  </si>
  <si>
    <t>TELE EDUCACION LOMA PARTIDA</t>
  </si>
  <si>
    <t>TELE-EDUCACION NANCE DE RISCO</t>
  </si>
  <si>
    <t>TELE-EDUCACION QUEBRADA  GUABO</t>
  </si>
  <si>
    <t>TERMINACION PRIMARIA LA GLORIA</t>
  </si>
  <si>
    <t>TERMINACION PRIMARIA VALLE EL REY</t>
  </si>
  <si>
    <t>TERMINACION PRIMARIA VALLE RISCÓ</t>
  </si>
  <si>
    <t>Centros Educativos sin Punto de Acceso a Internet de la RNI</t>
  </si>
  <si>
    <t>Row Labels</t>
  </si>
  <si>
    <t>Count of Nombre del Centro Educativo</t>
  </si>
  <si>
    <t>Total de Centros Educativos en Bocas del Toro</t>
  </si>
  <si>
    <t>Descripción</t>
  </si>
  <si>
    <t>Cantidad</t>
  </si>
  <si>
    <t>Centros Educativos con Puntos de Acceso a Internet de la RNI</t>
  </si>
  <si>
    <t>Centros Educativos sin Puntos de Acceso a Internet de la 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</si>
</sst>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4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i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E5BB"/>
        <bgColor indexed="64"/>
      </patternFill>
    </fill>
    <fill>
      <patternFill patternType="solid">
        <fgColor rgb="FFF9B63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0" fillId="0" borderId="0"/>
  </cellStyleXfs>
  <cellXfs count="65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textRotation="90" wrapText="1"/>
    </xf>
    <xf numFmtId="0" fontId="9" fillId="3" borderId="2" xfId="0" applyFont="1" applyFill="1" applyBorder="1" applyAlignment="1">
      <alignment horizontal="left"/>
    </xf>
    <xf numFmtId="0" fontId="10" fillId="0" borderId="0" xfId="2" applyAlignment="1">
      <alignment horizontal="center" vertical="center" wrapText="1"/>
    </xf>
    <xf numFmtId="0" fontId="10" fillId="0" borderId="2" xfId="2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3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1" fillId="7" borderId="0" xfId="0" applyFont="1" applyFill="1" applyAlignment="1">
      <alignment horizontal="center" vertical="center"/>
    </xf>
    <xf numFmtId="0" fontId="12" fillId="0" borderId="0" xfId="0" pivotButton="1" applyFont="1" applyAlignment="1">
      <alignment horizontal="left"/>
    </xf>
    <xf numFmtId="0" fontId="12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NumberFormat="1" applyBorder="1"/>
    <xf numFmtId="0" fontId="0" fillId="0" borderId="0" xfId="0" applyNumberFormat="1"/>
    <xf numFmtId="0" fontId="2" fillId="0" borderId="0" xfId="0" applyNumberFormat="1" applyFont="1" applyBorder="1"/>
    <xf numFmtId="0" fontId="13" fillId="1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/>
    </xf>
    <xf numFmtId="0" fontId="0" fillId="0" borderId="5" xfId="0" applyBorder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3">
    <cellStyle name="Calculation" xfId="1" builtinId="22"/>
    <cellStyle name="Normal" xfId="0" builtinId="0"/>
    <cellStyle name="Normal 2" xfId="2" xr:uid="{3EE038E8-D3AD-4B54-9235-2F9F0312A508}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outline="0">
        <right style="thin">
          <color indexed="64"/>
        </right>
      </border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b/>
      </font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164" formatCode="#,##0.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vertic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vertical="bottom"/>
    </dxf>
    <dxf>
      <alignment vertical="bottom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</dxfs>
  <tableStyles count="1" defaultTableStyle="TableStyleMedium2" defaultPivotStyle="PivotStyleLight16">
    <tableStyle name="Invisible" pivot="0" table="0" count="0" xr9:uid="{E4D0AA42-936A-401A-9964-F6BC9A534C2C}"/>
  </tableStyles>
  <colors>
    <mruColors>
      <color rgb="FFFDE5BB"/>
      <color rgb="FFF9B63D"/>
      <color rgb="FFFEF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[puntos-acceso-internet.xlsx]Principal!PivotTable14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Datos Consumidos</a:t>
            </a:r>
            <a:r>
              <a:rPr lang="en-US" baseline="0"/>
              <a:t> (GB) por Distrito en la Provincia de Bocas del Toro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Principal!$AF$10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Principal!$AE$11:$AE$15</c:f>
              <c:strCache>
                <c:ptCount val="4"/>
                <c:pt idx="0">
                  <c:v>Changuinola</c:v>
                </c:pt>
                <c:pt idx="1">
                  <c:v>Chiriquí Grande</c:v>
                </c:pt>
                <c:pt idx="2">
                  <c:v>Almirante</c:v>
                </c:pt>
                <c:pt idx="3">
                  <c:v>Bocas del Toro</c:v>
                </c:pt>
              </c:strCache>
            </c:strRef>
          </c:cat>
          <c:val>
            <c:numRef>
              <c:f>Principal!$AF$11:$AF$15</c:f>
              <c:numCache>
                <c:formatCode>#,##0</c:formatCode>
                <c:ptCount val="4"/>
                <c:pt idx="0">
                  <c:v>8418</c:v>
                </c:pt>
                <c:pt idx="1">
                  <c:v>2126</c:v>
                </c:pt>
                <c:pt idx="2">
                  <c:v>1228</c:v>
                </c:pt>
                <c:pt idx="3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7-4E98-A250-5625707CE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64655"/>
        <c:axId val="2137159520"/>
      </c:barChart>
      <c:catAx>
        <c:axId val="1626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59520"/>
        <c:crosses val="autoZero"/>
        <c:auto val="1"/>
        <c:lblAlgn val="ctr"/>
        <c:lblOffset val="100"/>
        <c:noMultiLvlLbl val="0"/>
      </c:catAx>
      <c:valAx>
        <c:axId val="21371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[puntos-acceso-internet.xlsx]Principal!PivotTable15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Sesiones en los puntos de acceso de la RNI por Distrito, en la Provincia de Bocas del Toro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Principal!$AF$17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68-4125-9DD8-882E16AA93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68-4125-9DD8-882E16AA93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68-4125-9DD8-882E16AA93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A68-4125-9DD8-882E16AA93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Principal!$AE$18:$AE$22</c:f>
              <c:strCache>
                <c:ptCount val="4"/>
                <c:pt idx="0">
                  <c:v>Changuinola</c:v>
                </c:pt>
                <c:pt idx="1">
                  <c:v>Chiriquí Grande</c:v>
                </c:pt>
                <c:pt idx="2">
                  <c:v>Almirante</c:v>
                </c:pt>
                <c:pt idx="3">
                  <c:v>Bocas del Toro</c:v>
                </c:pt>
              </c:strCache>
            </c:strRef>
          </c:cat>
          <c:val>
            <c:numRef>
              <c:f>Principal!$AF$18:$AF$22</c:f>
              <c:numCache>
                <c:formatCode>#,##0</c:formatCode>
                <c:ptCount val="4"/>
                <c:pt idx="0">
                  <c:v>92859</c:v>
                </c:pt>
                <c:pt idx="1">
                  <c:v>19448</c:v>
                </c:pt>
                <c:pt idx="2">
                  <c:v>8474</c:v>
                </c:pt>
                <c:pt idx="3">
                  <c:v>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C-431D-AF69-64395373F2C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[puntos-acceso-internet.xlsx]Principal!PivotTable16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Promedio</a:t>
            </a:r>
            <a:r>
              <a:rPr lang="en-US" sz="1400" baseline="0"/>
              <a:t> de Consumo de Datos por Sesión (MB) por Distrito, en la Pronvincia de Bocas del Toro</a:t>
            </a:r>
            <a:endParaRPr lang="en-US" sz="1400"/>
          </a:p>
        </c:rich>
      </c:tx>
      <c:layout>
        <c:manualLayout>
          <c:xMode val="edge"/>
          <c:yMode val="edge"/>
          <c:x val="0.1236804461942257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Principal!$AF$26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Principal!$AE$27:$AE$31</c:f>
              <c:strCache>
                <c:ptCount val="4"/>
                <c:pt idx="0">
                  <c:v>Almirante</c:v>
                </c:pt>
                <c:pt idx="1">
                  <c:v>Chiriquí Grande</c:v>
                </c:pt>
                <c:pt idx="2">
                  <c:v>Changuinola</c:v>
                </c:pt>
                <c:pt idx="3">
                  <c:v>Bocas del Toro</c:v>
                </c:pt>
              </c:strCache>
            </c:strRef>
          </c:cat>
          <c:val>
            <c:numRef>
              <c:f>Principal!$AF$27:$AF$31</c:f>
              <c:numCache>
                <c:formatCode>General</c:formatCode>
                <c:ptCount val="4"/>
                <c:pt idx="0">
                  <c:v>148</c:v>
                </c:pt>
                <c:pt idx="1">
                  <c:v>111</c:v>
                </c:pt>
                <c:pt idx="2">
                  <c:v>92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B-4D41-88E6-15EF691B08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42626848"/>
        <c:axId val="2142627328"/>
      </c:barChart>
      <c:catAx>
        <c:axId val="214262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27328"/>
        <c:crosses val="autoZero"/>
        <c:auto val="1"/>
        <c:lblAlgn val="ctr"/>
        <c:lblOffset val="100"/>
        <c:noMultiLvlLbl val="0"/>
      </c:catAx>
      <c:valAx>
        <c:axId val="2142627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[puntos-acceso-internet.xlsx]Principal!PivotTable2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Tipos de Conexión utilizados en los Puntos de Acceso de la RNI en la Provincia de Bocas del Toro</a:t>
            </a:r>
          </a:p>
        </c:rich>
      </c:tx>
      <c:layout>
        <c:manualLayout>
          <c:xMode val="edge"/>
          <c:yMode val="edge"/>
          <c:x val="0.15856233595800526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7214631473573769E-3"/>
              <c:y val="3.869633123815399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9749293322303425E-2"/>
              <c:y val="6.013713306659479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7408361748931254E-2"/>
              <c:y val="3.393013428838925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Principal!$AF$37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F0-4D0B-A864-DD26223707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F33-4835-A230-7882787CB9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F33-4835-A230-7882787CB9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33-4835-A230-7882787CB9DA}"/>
              </c:ext>
            </c:extLst>
          </c:dPt>
          <c:dLbls>
            <c:dLbl>
              <c:idx val="1"/>
              <c:layout>
                <c:manualLayout>
                  <c:x val="1.7214631473573769E-3"/>
                  <c:y val="3.86963312381539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33-4835-A230-7882787CB9DA}"/>
                </c:ext>
              </c:extLst>
            </c:dLbl>
            <c:dLbl>
              <c:idx val="2"/>
              <c:layout>
                <c:manualLayout>
                  <c:x val="1.7408361748931254E-2"/>
                  <c:y val="3.393013428838925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33-4835-A230-7882787CB9DA}"/>
                </c:ext>
              </c:extLst>
            </c:dLbl>
            <c:dLbl>
              <c:idx val="3"/>
              <c:layout>
                <c:manualLayout>
                  <c:x val="3.9749293322303425E-2"/>
                  <c:y val="6.013713306659479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33-4835-A230-7882787CB9D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Principal!$AE$38:$AE$42</c:f>
              <c:strCache>
                <c:ptCount val="4"/>
                <c:pt idx="0">
                  <c:v>FO (Fibra Óptica)</c:v>
                </c:pt>
                <c:pt idx="1">
                  <c:v>PTP (Punto a Punto)</c:v>
                </c:pt>
                <c:pt idx="2">
                  <c:v>HFC (Híbrido de Fibra Coaxial)</c:v>
                </c:pt>
                <c:pt idx="3">
                  <c:v>Satelital</c:v>
                </c:pt>
              </c:strCache>
            </c:strRef>
          </c:cat>
          <c:val>
            <c:numRef>
              <c:f>Principal!$AF$38:$AF$42</c:f>
              <c:numCache>
                <c:formatCode>General</c:formatCode>
                <c:ptCount val="4"/>
                <c:pt idx="0">
                  <c:v>48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3-4835-A230-7882787CB9D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Centros</a:t>
            </a:r>
            <a:r>
              <a:rPr lang="en-US" baseline="0"/>
              <a:t> Educativos con Acceso a Internet en Bocas del Toro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Principal!$AF$52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B9-4425-912D-E15AB99E24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B9-4425-912D-E15AB99E244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Principal!$AE$53:$AE$54</c:f>
              <c:strCache>
                <c:ptCount val="2"/>
                <c:pt idx="0">
                  <c:v>Centros Educativos con Puntos de Acceso a Internet de la RNI</c:v>
                </c:pt>
                <c:pt idx="1">
                  <c:v>Centros Educativos sin Puntos de Acceso a Internet de la RNI</c:v>
                </c:pt>
              </c:strCache>
            </c:strRef>
          </c:cat>
          <c:val>
            <c:numRef>
              <c:f>Principal!$AF$53:$AF$54</c:f>
              <c:numCache>
                <c:formatCode>General</c:formatCode>
                <c:ptCount val="2"/>
                <c:pt idx="0">
                  <c:v>33</c:v>
                </c:pt>
                <c:pt idx="1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A-4495-9BD1-D34B699800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494336</xdr:colOff>
      <xdr:row>3</xdr:row>
      <xdr:rowOff>168408</xdr:rowOff>
    </xdr:from>
    <xdr:to>
      <xdr:col>36</xdr:col>
      <xdr:colOff>689000</xdr:colOff>
      <xdr:row>13</xdr:row>
      <xdr:rowOff>162644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20A722-E846-C36D-8CD2-1CCEBF66A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530197</xdr:colOff>
      <xdr:row>14</xdr:row>
      <xdr:rowOff>200874</xdr:rowOff>
    </xdr:from>
    <xdr:to>
      <xdr:col>36</xdr:col>
      <xdr:colOff>689002</xdr:colOff>
      <xdr:row>23</xdr:row>
      <xdr:rowOff>339378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3CF4E6-18B7-E6A8-11C8-A2E52CE6A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532117</xdr:colOff>
      <xdr:row>25</xdr:row>
      <xdr:rowOff>10245</xdr:rowOff>
    </xdr:from>
    <xdr:to>
      <xdr:col>36</xdr:col>
      <xdr:colOff>726781</xdr:colOff>
      <xdr:row>34</xdr:row>
      <xdr:rowOff>28174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256339-F0B7-B2CD-40FA-51DDBB5CB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393166</xdr:colOff>
      <xdr:row>34</xdr:row>
      <xdr:rowOff>331057</xdr:rowOff>
    </xdr:from>
    <xdr:to>
      <xdr:col>36</xdr:col>
      <xdr:colOff>984068</xdr:colOff>
      <xdr:row>48</xdr:row>
      <xdr:rowOff>171996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E909B-F7DA-E0D3-CF19-C77779618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381000</xdr:colOff>
      <xdr:row>50</xdr:row>
      <xdr:rowOff>163286</xdr:rowOff>
    </xdr:from>
    <xdr:to>
      <xdr:col>36</xdr:col>
      <xdr:colOff>576942</xdr:colOff>
      <xdr:row>60</xdr:row>
      <xdr:rowOff>130629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8ADCC8-10B8-C8DF-F2B0-99ABD6796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Diego Hernández" refreshedDate="45909.69420474537" createdVersion="8" refreshedVersion="8" minRefreshableVersion="3" recordCount="54" xr:uid="{84EC1033-A8B9-456F-9D31-EE38B85B2433}">
  <cacheSource type="worksheet">
    <worksheetSource name="Table1"/>
  </cacheSource>
  <cacheFields count="22">
    <cacheField name="Región" numFmtId="0">
      <sharedItems containsSemiMixedTypes="0" containsString="0" containsNumber="1" containsInteger="1" minValue="1" maxValue="1"/>
    </cacheField>
    <cacheField name="PA" numFmtId="0">
      <sharedItems containsSemiMixedTypes="0" containsString="0" containsNumber="1" containsInteger="1" minValue="1" maxValue="1651"/>
    </cacheField>
    <cacheField name="Nombre               (Punto de Acceso)" numFmtId="0">
      <sharedItems/>
    </cacheField>
    <cacheField name="Provincia" numFmtId="0">
      <sharedItems/>
    </cacheField>
    <cacheField name="Distrito" numFmtId="0">
      <sharedItems count="4">
        <s v="Changuinola"/>
        <s v="Almirante"/>
        <s v="Chiriquí Grande"/>
        <s v="Bocas del Toro"/>
      </sharedItems>
    </cacheField>
    <cacheField name="Corregimiento" numFmtId="0">
      <sharedItems/>
    </cacheField>
    <cacheField name="Tipo UM" numFmtId="0">
      <sharedItems count="4">
        <s v="FO"/>
        <s v="Satelital"/>
        <s v="PTP"/>
        <s v="HFC"/>
      </sharedItems>
    </cacheField>
    <cacheField name="Latitud" numFmtId="0">
      <sharedItems containsSemiMixedTypes="0" containsString="0" containsNumber="1" minValue="8.2426759999999994" maxValue="9.5431609999999996"/>
    </cacheField>
    <cacheField name="Longitud" numFmtId="0">
      <sharedItems containsSemiMixedTypes="0" containsString="0" containsNumber="1" minValue="-82.739405000000005" maxValue="-81.670066000000006"/>
    </cacheField>
    <cacheField name="Fecha de Activación" numFmtId="0">
      <sharedItems containsBlank="1"/>
    </cacheField>
    <cacheField name="Datos (GB)" numFmtId="0">
      <sharedItems containsSemiMixedTypes="0" containsString="0" containsNumber="1" containsInteger="1" minValue="15" maxValue="727"/>
    </cacheField>
    <cacheField name="Cantidad de Sesiones" numFmtId="0">
      <sharedItems containsString="0" containsBlank="1" containsNumber="1" containsInteger="1" minValue="313" maxValue="8502"/>
    </cacheField>
    <cacheField name="Promedio de Datos Consumidos por Sesión (MB)" numFmtId="0">
      <sharedItems containsString="0" containsBlank="1" containsNumber="1" containsInteger="1" minValue="10" maxValue="432" count="49">
        <n v="432"/>
        <n v="405"/>
        <n v="261"/>
        <n v="256"/>
        <n v="224"/>
        <n v="205"/>
        <n v="196"/>
        <n v="184"/>
        <n v="163"/>
        <n v="152"/>
        <n v="142"/>
        <n v="141"/>
        <n v="136"/>
        <n v="133"/>
        <n v="129"/>
        <n v="128"/>
        <n v="121"/>
        <n v="117"/>
        <n v="116"/>
        <n v="114"/>
        <n v="109"/>
        <n v="100"/>
        <n v="98"/>
        <n v="90"/>
        <n v="88"/>
        <n v="87"/>
        <n v="86"/>
        <n v="82"/>
        <n v="76"/>
        <n v="73"/>
        <n v="71"/>
        <n v="69"/>
        <n v="67"/>
        <n v="65"/>
        <n v="61"/>
        <n v="62"/>
        <n v="60"/>
        <n v="59"/>
        <n v="55"/>
        <n v="53"/>
        <n v="48"/>
        <n v="45"/>
        <n v="43"/>
        <n v="28"/>
        <n v="24"/>
        <n v="22"/>
        <n v="21"/>
        <n v="10"/>
        <m/>
      </sharedItems>
    </cacheField>
    <cacheField name="Proveedor" numFmtId="0">
      <sharedItems containsBlank="1"/>
    </cacheField>
    <cacheField name="Disponibilidad del Punto de Acceso" numFmtId="0">
      <sharedItems containsBlank="1"/>
    </cacheField>
    <cacheField name="Nombres de Centros Educativos (MEDUCA)" numFmtId="0">
      <sharedItems containsBlank="1" count="34">
        <s v="ESC. BILINGÜE  FINCA 66"/>
        <s v="ESC. FINCA 03"/>
        <s v="ESC. PUENTE BLANCO"/>
        <s v="ESC. MIRAFLORES"/>
        <s v="ESC. NUEVO PARAISO"/>
        <m/>
        <s v="C.E.B.G. BILINGÜE  NIEVECITA  "/>
        <s v="I.P.T. CHIRIQUI GRANDE"/>
        <s v="ESC. BARRIADA GUAYMI"/>
        <s v="ESC. BILINGÜE CAÑAZAS"/>
        <s v="C.E.B.G. PUNTA PEÑA"/>
        <s v="ESC. FINCA 41 ANEXA GUABITO"/>
        <s v="ESC. SAN SAN MEDIO ANEXA"/>
        <s v="ESC. BILINGÜE DIONISIA G. DE AYARZA"/>
        <s v="ESC. BILINGÜE BERTA LOPEZ"/>
        <s v="ESC. BILINGÜE EL SILENCIO"/>
        <s v="COLEGIO SECUNDARIO DE GUABITO"/>
        <s v="ESC. FINCA 54"/>
        <s v="ESC. FINCA 67"/>
        <s v="C.E.B.G. BILINGÜE GUABITO"/>
        <s v="COLEGIO ROGELIO JOSUÉ IBARRA"/>
        <s v="I.P.T. EL SILENCIO"/>
        <s v="ESC. FINCA 43"/>
        <s v="ESC. FINCA 44"/>
        <s v="I.P.T. BOCAS DEL TORO"/>
        <s v="ESC. BILINGÜE  FINCA 32"/>
        <s v="ESC. FINCA 64"/>
        <s v="C.E.B.G. BILINGÜE FINCA 04"/>
        <s v="COLEGIO SECUNDARIO DE ALMIRANTE"/>
        <s v="C.E.B.G. BILINGÜE FINCA 62"/>
        <s v="ESC. FINCA 41"/>
        <s v="C.E.B.G. BILINGÜE EL EMPALME"/>
        <s v="ESC. ALMIRANTE"/>
        <s v="ESC. BILINGÜE REPUBLICA DE NICARAGUA"/>
      </sharedItems>
    </cacheField>
    <cacheField name="Dependencia" numFmtId="0">
      <sharedItems containsBlank="1"/>
    </cacheField>
    <cacheField name="Estatus" numFmtId="0">
      <sharedItems containsBlank="1"/>
    </cacheField>
    <cacheField name="Área" numFmtId="0">
      <sharedItems containsBlank="1"/>
    </cacheField>
    <cacheField name="Indígena" numFmtId="0">
      <sharedItems containsBlank="1"/>
    </cacheField>
    <cacheField name="Nivel Educativo (Oferta 2023)" numFmtId="0">
      <sharedItems containsBlank="1"/>
    </cacheField>
    <cacheField name="Avg_Consumo" numFmtId="0" formula=" TRUNC('Datos (GB)'/'Cantidad de Sesiones'*1024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Diego Hernández" refreshedDate="45916.558515625002" createdVersion="8" refreshedVersion="8" minRefreshableVersion="3" recordCount="33" xr:uid="{A5DF52D4-5AB1-4B4C-854B-03376BA1F20A}">
  <cacheSource type="worksheet">
    <worksheetSource ref="A1:O34" sheet="BD_Meduca"/>
  </cacheSource>
  <cacheFields count="15">
    <cacheField name="Nombre del Centro Educativo" numFmtId="0">
      <sharedItems count="33">
        <s v="C.E.B.G. BILINGÜE  NIEVECITA  "/>
        <s v="C.E.B.G. BILINGÜE EL EMPALME"/>
        <s v="C.E.B.G. BILINGÜE FINCA 04"/>
        <s v="C.E.B.G. BILINGÜE FINCA 62"/>
        <s v="C.E.B.G. BILINGÜE GUABITO"/>
        <s v="C.E.B.G. PUNTA PEÑA"/>
        <s v="COLEGIO ROGELIO JOSUÉ IBARRA"/>
        <s v="COLEGIO SECUNDARIO DE ALMIRANTE"/>
        <s v="COLEGIO SECUNDARIO DE GUABITO"/>
        <s v="ESC. ALMIRANTE"/>
        <s v="ESC. BARRIADA GUAYMI"/>
        <s v="ESC. BILINGÜE  FINCA 32"/>
        <s v="ESC. BILINGÜE  FINCA 66"/>
        <s v="ESC. BILINGÜE BERTA LOPEZ"/>
        <s v="ESC. BILINGÜE CAÑAZAS"/>
        <s v="ESC. BILINGÜE DIONISIA G. DE AYARZA"/>
        <s v="ESC. BILINGÜE EL SILENCIO"/>
        <s v="ESC. BILINGÜE REPUBLICA DE NICARAGUA"/>
        <s v="ESC. FINCA 03"/>
        <s v="ESC. FINCA 41"/>
        <s v="ESC. FINCA 41 ANEXA GUABITO"/>
        <s v="ESC. FINCA 43"/>
        <s v="ESC. FINCA 44"/>
        <s v="ESC. FINCA 54"/>
        <s v="ESC. FINCA 64"/>
        <s v="ESC. FINCA 67"/>
        <s v="ESC. MIRAFLORES"/>
        <s v="ESC. NUEVO PARAISO"/>
        <s v="ESC. PUENTE BLANCO"/>
        <s v="ESC. SAN SAN MEDIO ANEXA"/>
        <s v="I.P.T. BOCAS DEL TORO"/>
        <s v="I.P.T. CHIRIQUI GRANDE"/>
        <s v="I.P.T. EL SILENCIO"/>
      </sharedItems>
    </cacheField>
    <cacheField name="Marco Muestral -Sistema Educativo" numFmtId="0">
      <sharedItems/>
    </cacheField>
    <cacheField name="Provincia" numFmtId="0">
      <sharedItems/>
    </cacheField>
    <cacheField name="Distrito" numFmtId="0">
      <sharedItems count="4">
        <s v="ALMIRANTE"/>
        <s v="BOCAS DEL TORO"/>
        <s v="CHANGUINOLA"/>
        <s v="CHIRIQUÍ GRANDE"/>
      </sharedItems>
    </cacheField>
    <cacheField name="Corregimiento" numFmtId="0">
      <sharedItems/>
    </cacheField>
    <cacheField name="Región Escolar" numFmtId="0">
      <sharedItems/>
    </cacheField>
    <cacheField name="Área" numFmtId="0">
      <sharedItems/>
    </cacheField>
    <cacheField name="Áreas Comarcales" numFmtId="0">
      <sharedItems/>
    </cacheField>
    <cacheField name="Dependencia" numFmtId="0">
      <sharedItems/>
    </cacheField>
    <cacheField name="Estatus" numFmtId="0">
      <sharedItems/>
    </cacheField>
    <cacheField name="Indigena" numFmtId="0">
      <sharedItems/>
    </cacheField>
    <cacheField name="Decretos (Creación, funcionamiento, cambio nombre, ampliación)" numFmtId="0">
      <sharedItems/>
    </cacheField>
    <cacheField name="Otros Decretos relacionados(Cambio de nombre, ampliacion, cierre)" numFmtId="0">
      <sharedItems containsBlank="1"/>
    </cacheField>
    <cacheField name="Oferta 2023" numFmtId="0">
      <sharedItems/>
    </cacheField>
    <cacheField name="Bachill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n v="1366"/>
    <s v="Escuela Finca 66"/>
    <s v="Bocas del Toro"/>
    <x v="0"/>
    <s v="Changuinola"/>
    <x v="0"/>
    <n v="9.4460040000000003"/>
    <n v="-82.517251999999999"/>
    <s v="29/06/2017"/>
    <n v="348"/>
    <n v="823"/>
    <x v="0"/>
    <s v="C&amp;W Panamá"/>
    <s v="Sí"/>
    <x v="0"/>
    <s v="PARTICULAR"/>
    <s v="ACTIVA"/>
    <s v="URBANA"/>
    <s v="NO"/>
    <s v="PREMEDIA"/>
  </r>
  <r>
    <n v="1"/>
    <n v="37"/>
    <s v="Escuela Finca 3"/>
    <s v="Bocas del Toro"/>
    <x v="0"/>
    <s v="El Empalme"/>
    <x v="1"/>
    <n v="9.4246429999999997"/>
    <n v="-82.471710999999999"/>
    <s v="19/12/2017"/>
    <n v="124"/>
    <n v="313"/>
    <x v="1"/>
    <s v="C&amp;W Panamá"/>
    <s v="Sí"/>
    <x v="1"/>
    <s v="OFICIAL"/>
    <s v="ACTIVA"/>
    <s v="INDIGENA"/>
    <s v="SI"/>
    <s v="PRIMARIA"/>
  </r>
  <r>
    <n v="1"/>
    <n v="47"/>
    <s v="Escuela Puente blanco"/>
    <s v="Bocas del Toro"/>
    <x v="0"/>
    <s v="Guabito"/>
    <x v="2"/>
    <n v="9.4817459999999993"/>
    <n v="-82.595248999999995"/>
    <s v="28/06/2017"/>
    <n v="718"/>
    <n v="2808"/>
    <x v="2"/>
    <s v="C&amp;W Panamá"/>
    <s v="Sí"/>
    <x v="2"/>
    <s v="OFICIAL"/>
    <s v="ACTIVA"/>
    <s v="INDIGENA"/>
    <s v="SI"/>
    <s v="PREESCOLAR-PRIMARIA"/>
  </r>
  <r>
    <n v="1"/>
    <n v="10"/>
    <s v="Escuela Miraflores"/>
    <s v="Bocas del Toro"/>
    <x v="1"/>
    <s v="Puerto Almirante"/>
    <x v="0"/>
    <n v="9.3055040000000009"/>
    <n v="-82.437320999999997"/>
    <s v="10/07/2017"/>
    <n v="592"/>
    <n v="2364"/>
    <x v="3"/>
    <s v="C&amp;W Panamá"/>
    <s v="Sí"/>
    <x v="3"/>
    <s v="OFICIAL"/>
    <s v="ACTIVA"/>
    <s v="RURAL"/>
    <s v="NO"/>
    <s v="PREESCOLAR-PRIMARIA"/>
  </r>
  <r>
    <n v="1"/>
    <n v="11"/>
    <s v="Escuela Nuevo Paraíso"/>
    <s v="Bocas del Toro"/>
    <x v="1"/>
    <s v="Puerto Almirante"/>
    <x v="0"/>
    <n v="9.2839460000000003"/>
    <n v="-82.410793999999996"/>
    <s v="29/06/2017"/>
    <n v="165"/>
    <n v="753"/>
    <x v="4"/>
    <s v="C&amp;W Panamá"/>
    <s v="Sí"/>
    <x v="4"/>
    <s v="OFICIAL"/>
    <s v="ACTIVA"/>
    <s v="RURAL"/>
    <s v="NO"/>
    <s v="PREESCOLAR-PRIMARIA-PREMEDIA"/>
  </r>
  <r>
    <n v="1"/>
    <n v="34"/>
    <s v="Cuartel de Bomberos del Empalme"/>
    <s v="Bocas del Toro"/>
    <x v="0"/>
    <s v="El Empalme"/>
    <x v="0"/>
    <n v="9.4208449999999999"/>
    <n v="-82.520880000000005"/>
    <s v="27/06/2017"/>
    <n v="158"/>
    <n v="788"/>
    <x v="5"/>
    <s v="C&amp;W Panamá"/>
    <s v="Sí"/>
    <x v="5"/>
    <m/>
    <m/>
    <m/>
    <m/>
    <m/>
  </r>
  <r>
    <n v="1"/>
    <n v="1380"/>
    <s v="CEBG Nievecita"/>
    <s v="Bocas del Toro"/>
    <x v="0"/>
    <s v="Las Tablas"/>
    <x v="0"/>
    <n v="9.5431609999999996"/>
    <n v="-82.739405000000005"/>
    <s v="19/12/2017"/>
    <n v="727"/>
    <n v="3780"/>
    <x v="6"/>
    <s v="C&amp;W Panamá"/>
    <s v="Sí"/>
    <x v="6"/>
    <s v="OFICIAL"/>
    <s v="ACTIVA"/>
    <s v="RURAL"/>
    <s v="NO"/>
    <s v="PREESCOLAR-PRIMARIA-PREMEDIA"/>
  </r>
  <r>
    <n v="1"/>
    <n v="52"/>
    <s v="I.P.T. Chiriquí Grande"/>
    <s v="Bocas del Toro"/>
    <x v="2"/>
    <s v="Chiriquí Grande"/>
    <x v="0"/>
    <n v="8.9180240000000008"/>
    <n v="-82.184955000000002"/>
    <s v="03/08/2017"/>
    <n v="312"/>
    <n v="1627"/>
    <x v="6"/>
    <s v="C&amp;W Panamá"/>
    <s v="Sí"/>
    <x v="7"/>
    <s v="OFICIAL"/>
    <s v="ACTIVA"/>
    <s v="INDIGENA"/>
    <s v="SI"/>
    <s v="PREESCOLAR-PRIMARIA-PREMEDIA"/>
  </r>
  <r>
    <n v="1"/>
    <n v="46"/>
    <s v="Escuela Finca Débora"/>
    <s v="Bocas del Toro"/>
    <x v="0"/>
    <s v="Guabito"/>
    <x v="0"/>
    <n v="9.5148010000000003"/>
    <n v="-82.594971000000001"/>
    <s v="03/08/2017"/>
    <n v="672"/>
    <n v="3726"/>
    <x v="7"/>
    <s v="C&amp;W Panamá"/>
    <s v="Sí"/>
    <x v="5"/>
    <m/>
    <m/>
    <m/>
    <m/>
    <m/>
  </r>
  <r>
    <n v="1"/>
    <n v="8"/>
    <s v="Escuela Barriada Guaymi"/>
    <s v="Bocas del Toro"/>
    <x v="1"/>
    <s v="Puerto Almirante"/>
    <x v="0"/>
    <n v="8.2426759999999994"/>
    <n v="-81.670066000000006"/>
    <s v="30/06/2017"/>
    <n v="159"/>
    <n v="994"/>
    <x v="8"/>
    <s v="C&amp;W Panamá"/>
    <s v="Sí"/>
    <x v="8"/>
    <s v="OFICIAL"/>
    <s v="ACTIVA"/>
    <s v="URBANA"/>
    <s v="NO"/>
    <s v="PREMEDIA"/>
  </r>
  <r>
    <n v="1"/>
    <n v="56"/>
    <s v="Escuela Cañazas"/>
    <s v="Bocas del Toro"/>
    <x v="2"/>
    <s v="Punta Peña"/>
    <x v="0"/>
    <n v="8.8079059999999991"/>
    <n v="-82.184109000000007"/>
    <s v="30/06/2017"/>
    <n v="443"/>
    <n v="2980"/>
    <x v="9"/>
    <s v="C&amp;W Panamá"/>
    <s v="Sí"/>
    <x v="9"/>
    <s v="OFICIAL"/>
    <s v="ACTIVA"/>
    <s v="RURAL"/>
    <s v="NO"/>
    <s v="PREMEDIA-MEDIA ACADÉMICA-MEDIA PROFESIONAL Y TÉCNICA"/>
  </r>
  <r>
    <n v="1"/>
    <n v="55"/>
    <s v="C.E.B.G. PUNTA PEÑA"/>
    <s v="Bocas del Toro"/>
    <x v="2"/>
    <s v="Punta Peña"/>
    <x v="0"/>
    <n v="8.9135159999999996"/>
    <n v="-82.186711000000003"/>
    <s v="28/06/2017"/>
    <n v="407"/>
    <n v="2928"/>
    <x v="10"/>
    <s v="C&amp;W Panamá"/>
    <s v="Sí"/>
    <x v="10"/>
    <s v="OFICIAL"/>
    <s v="ACTIVA"/>
    <s v="INDIGENA"/>
    <s v="SI"/>
    <s v="PREESCOLAR-PRIMARIA-PREMEDIA-MEDIA PROFESIONAL Y TÉCNICA"/>
  </r>
  <r>
    <n v="1"/>
    <n v="1582"/>
    <s v="MIDES Changuinola"/>
    <s v="Bocas del Toro"/>
    <x v="0"/>
    <s v="Changuinola"/>
    <x v="2"/>
    <n v="9.4505599999999994"/>
    <n v="-82.520939999999996"/>
    <s v="05/06/2019"/>
    <n v="143"/>
    <n v="1032"/>
    <x v="11"/>
    <s v="C&amp;W Panamá"/>
    <s v="Sí"/>
    <x v="5"/>
    <m/>
    <m/>
    <m/>
    <m/>
    <m/>
  </r>
  <r>
    <n v="1"/>
    <n v="44"/>
    <s v="Escuela Finca 41 Guabito"/>
    <s v="Bocas del Toro"/>
    <x v="0"/>
    <s v="Guabito"/>
    <x v="0"/>
    <n v="9.491225"/>
    <n v="-82.624135999999993"/>
    <s v="11/07/2017"/>
    <n v="133"/>
    <n v="996"/>
    <x v="12"/>
    <s v="C&amp;W Panamá"/>
    <s v="Sí"/>
    <x v="11"/>
    <s v="OFICIAL"/>
    <s v="ACTIVA"/>
    <s v="INDIGENA"/>
    <s v="SI"/>
    <s v="PREESCOLAR-PRIMARIA"/>
  </r>
  <r>
    <n v="1"/>
    <n v="48"/>
    <s v="Escuela San San Medio (Anexa)"/>
    <s v="Bocas del Toro"/>
    <x v="0"/>
    <s v="Guabito"/>
    <x v="0"/>
    <n v="9.4649570000000001"/>
    <n v="-82.549522999999994"/>
    <s v="28/06/2017"/>
    <n v="325"/>
    <n v="2487"/>
    <x v="13"/>
    <s v="C&amp;W Panamá"/>
    <s v="Sí"/>
    <x v="12"/>
    <s v="OFICIAL"/>
    <s v="ACTIVA"/>
    <s v="RURAL"/>
    <s v="NO"/>
    <s v="PRIMARIA"/>
  </r>
  <r>
    <n v="1"/>
    <n v="51"/>
    <s v="C.E.B.G. Dionisia G. de Ayarza"/>
    <s v="Bocas del Toro"/>
    <x v="2"/>
    <s v="Chiriquí Grande"/>
    <x v="0"/>
    <n v="8.9455220000000004"/>
    <n v="-82.115149000000002"/>
    <s v="03/08/2017"/>
    <n v="139"/>
    <n v="1098"/>
    <x v="14"/>
    <s v="C&amp;W Panamá"/>
    <s v="Sí"/>
    <x v="13"/>
    <s v="OFICIAL"/>
    <s v="ACTIVA"/>
    <s v="RURAL"/>
    <s v="NO"/>
    <s v=" PREMEDIA-MEDIA ACADÉMICA"/>
  </r>
  <r>
    <n v="1"/>
    <n v="9"/>
    <s v="Escuela Berta López"/>
    <s v="Bocas del Toro"/>
    <x v="1"/>
    <s v="Puerto Almirante"/>
    <x v="0"/>
    <n v="9.2950900000000001"/>
    <n v="-82.404894999999996"/>
    <s v="29/06/2017"/>
    <n v="139"/>
    <n v="1111"/>
    <x v="15"/>
    <s v="C&amp;W Panamá"/>
    <s v="Sí"/>
    <x v="14"/>
    <s v="PARTICULAR"/>
    <s v="ACTIVA"/>
    <s v="URBANA"/>
    <s v="NO"/>
    <s v="PREMEDIA- MEDIA"/>
  </r>
  <r>
    <n v="1"/>
    <n v="36"/>
    <s v="Escuela El Silencio"/>
    <s v="Bocas del Toro"/>
    <x v="0"/>
    <s v="El Empalme"/>
    <x v="0"/>
    <n v="9.3885550000000002"/>
    <n v="-82.531266000000002"/>
    <s v="27/06/2017"/>
    <n v="210"/>
    <n v="1775"/>
    <x v="16"/>
    <s v="C&amp;W Panamá"/>
    <s v="Sí"/>
    <x v="15"/>
    <s v="OFICIAL"/>
    <s v="ACTIVA"/>
    <s v="INDIGENA"/>
    <s v="SI"/>
    <s v="PREESCOLAR-PRIMARIA"/>
  </r>
  <r>
    <n v="1"/>
    <n v="43"/>
    <s v="Colegio Secundario de Guabito"/>
    <s v="Bocas del Toro"/>
    <x v="0"/>
    <s v="Guabito"/>
    <x v="0"/>
    <n v="9.4885590000000004"/>
    <n v="-82.607680000000002"/>
    <s v="11/07/2017"/>
    <n v="276"/>
    <n v="2403"/>
    <x v="17"/>
    <s v="C&amp;W Panamá"/>
    <s v="Sí"/>
    <x v="16"/>
    <s v="OFICIAL"/>
    <s v="ACTIVA"/>
    <s v="RURAL"/>
    <s v="NO"/>
    <s v="PRIMARIA"/>
  </r>
  <r>
    <n v="1"/>
    <n v="45"/>
    <s v="Escuela Finca 54"/>
    <s v="Bocas del Toro"/>
    <x v="0"/>
    <s v="Guabito"/>
    <x v="0"/>
    <n v="9.4953570000000003"/>
    <n v="-82.586636999999996"/>
    <s v="11/07/2017"/>
    <n v="202"/>
    <n v="1776"/>
    <x v="18"/>
    <s v="C&amp;W Panamá"/>
    <s v="Sí"/>
    <x v="17"/>
    <s v="OFICIAL"/>
    <s v="ACTIVA"/>
    <s v="URBANA"/>
    <s v="NO"/>
    <s v="PREESCOLAR-PRIMARIA"/>
  </r>
  <r>
    <n v="1"/>
    <n v="32"/>
    <s v="Escuela Finca 67"/>
    <s v="Bocas del Toro"/>
    <x v="0"/>
    <s v="Changuinola"/>
    <x v="0"/>
    <n v="9.4379480000000004"/>
    <n v="-82.497598999999994"/>
    <s v="02/08/2017"/>
    <n v="380"/>
    <n v="3385"/>
    <x v="19"/>
    <s v="C&amp;W Panamá"/>
    <s v="Sí"/>
    <x v="18"/>
    <s v="OFICIAL"/>
    <s v="ACTIVA"/>
    <s v="URBANA"/>
    <s v="NO"/>
    <s v="PREMEDIA-MEDIA ACADÉMICA-MEDIA PROFESIONAL Y TÉCNICA"/>
  </r>
  <r>
    <n v="1"/>
    <n v="1440"/>
    <s v="HOSPITAL DE CHIRIQUI GRANDE"/>
    <s v="Bocas del Toro"/>
    <x v="2"/>
    <s v="Rambala"/>
    <x v="0"/>
    <n v="8.9301879999999993"/>
    <n v="-82.182191000000003"/>
    <s v="18/09/2018"/>
    <n v="294"/>
    <n v="2754"/>
    <x v="20"/>
    <s v="C&amp;W Panamá"/>
    <s v="Sí"/>
    <x v="5"/>
    <m/>
    <m/>
    <m/>
    <m/>
    <m/>
  </r>
  <r>
    <n v="1"/>
    <n v="22"/>
    <s v="Parque de la escuela de changuinola"/>
    <s v="Bocas del Toro"/>
    <x v="0"/>
    <s v="Changuinola"/>
    <x v="0"/>
    <n v="9.4560519999999997"/>
    <n v="-82.514567"/>
    <s v="11/07/2017"/>
    <n v="155"/>
    <n v="1581"/>
    <x v="21"/>
    <s v="C&amp;W Panamá"/>
    <s v="Sí"/>
    <x v="5"/>
    <m/>
    <m/>
    <m/>
    <m/>
    <m/>
  </r>
  <r>
    <n v="1"/>
    <n v="49"/>
    <s v="Policlínica de Guabito CSS"/>
    <s v="Bocas del Toro"/>
    <x v="0"/>
    <s v="Guabito"/>
    <x v="0"/>
    <n v="9.4963200000000008"/>
    <n v="-82.610202999999998"/>
    <s v="28/06/2017"/>
    <n v="335"/>
    <n v="3484"/>
    <x v="22"/>
    <s v="C&amp;W Panamá"/>
    <s v="Sí"/>
    <x v="5"/>
    <m/>
    <m/>
    <m/>
    <m/>
    <m/>
  </r>
  <r>
    <n v="1"/>
    <n v="41"/>
    <s v="UTP El Empalme"/>
    <s v="Bocas del Toro"/>
    <x v="0"/>
    <s v="El Empalme"/>
    <x v="0"/>
    <n v="9.4219749999999998"/>
    <n v="-82.523320999999996"/>
    <s v="27/06/2017"/>
    <n v="144"/>
    <n v="1503"/>
    <x v="22"/>
    <s v="C&amp;W Panamá"/>
    <s v="Sí"/>
    <x v="5"/>
    <m/>
    <m/>
    <m/>
    <m/>
    <m/>
  </r>
  <r>
    <n v="1"/>
    <n v="42"/>
    <s v="C.E.B.G. Guabito"/>
    <s v="Bocas del Toro"/>
    <x v="0"/>
    <s v="Guabito"/>
    <x v="0"/>
    <n v="9.4920229999999997"/>
    <n v="-82.611637999999999"/>
    <s v="11/07/2017"/>
    <n v="354"/>
    <n v="3998"/>
    <x v="23"/>
    <s v="C&amp;W Panamá"/>
    <s v="Sí"/>
    <x v="19"/>
    <s v="OFICIAL"/>
    <s v="ACTIVA"/>
    <s v="RURAL"/>
    <s v="NO"/>
    <s v="PREESCOLAR-PRIMARIA-PREMEDIA"/>
  </r>
  <r>
    <n v="1"/>
    <n v="1"/>
    <s v="Colegio Rogelio Josué Ibarra"/>
    <s v="Bocas del Toro"/>
    <x v="3"/>
    <s v="Bocas del Toro"/>
    <x v="0"/>
    <n v="9.3406540000000007"/>
    <n v="-82.242498999999995"/>
    <s v="12/07/2017"/>
    <n v="39"/>
    <n v="453"/>
    <x v="24"/>
    <s v="C&amp;W Panamá"/>
    <s v="Sí"/>
    <x v="20"/>
    <s v="OFICIAL"/>
    <s v="ACTIVA"/>
    <s v="RURAL"/>
    <s v="NO"/>
    <s v="PREESCOLAR-PRIMARIA"/>
  </r>
  <r>
    <n v="1"/>
    <n v="38"/>
    <s v="I.P.T. EL SILENCIO"/>
    <s v="Bocas del Toro"/>
    <x v="0"/>
    <s v="El Empalme"/>
    <x v="0"/>
    <n v="9.3753630000000001"/>
    <n v="-82.528323999999998"/>
    <s v="27/06/2017"/>
    <n v="138"/>
    <n v="1617"/>
    <x v="25"/>
    <s v="C&amp;W Panamá"/>
    <s v="Sí"/>
    <x v="21"/>
    <s v="OFICIAL"/>
    <s v="ACTIVA"/>
    <s v="RURAL"/>
    <s v="NO"/>
    <s v="PREESCOLAR-PRIMARIA"/>
  </r>
  <r>
    <n v="1"/>
    <n v="29"/>
    <s v="Escuela Finca 43"/>
    <s v="Bocas del Toro"/>
    <x v="0"/>
    <s v="Changuinola"/>
    <x v="0"/>
    <n v="9.474736"/>
    <n v="-82.499968999999993"/>
    <s v="26/06/2017"/>
    <n v="182"/>
    <n v="2159"/>
    <x v="26"/>
    <s v="C&amp;W Panamá"/>
    <s v="Sí"/>
    <x v="22"/>
    <s v="OFICIAL"/>
    <s v="ACTIVA"/>
    <s v="INDIGENA"/>
    <s v="SI"/>
    <s v="PRIMARIA"/>
  </r>
  <r>
    <n v="1"/>
    <n v="53"/>
    <s v="Municipio Chiriquí Grande (Cabecera)"/>
    <s v="Bocas del Toro"/>
    <x v="2"/>
    <s v="Chiriquí Grande"/>
    <x v="0"/>
    <n v="8.9487839999999998"/>
    <n v="-82.116083000000003"/>
    <s v="03/08/2017"/>
    <n v="339"/>
    <n v="4017"/>
    <x v="26"/>
    <s v="C&amp;W Panamá"/>
    <s v="Sí"/>
    <x v="5"/>
    <m/>
    <m/>
    <m/>
    <m/>
    <m/>
  </r>
  <r>
    <n v="1"/>
    <n v="13"/>
    <s v="BDA"/>
    <s v="Bocas del Toro"/>
    <x v="0"/>
    <s v="Changuinola"/>
    <x v="0"/>
    <n v="9.4372150000000001"/>
    <n v="-82.519311000000002"/>
    <s v="10/07/2017"/>
    <n v="134"/>
    <n v="1654"/>
    <x v="27"/>
    <s v="C&amp;W Panamá"/>
    <s v="Sí"/>
    <x v="5"/>
    <m/>
    <m/>
    <m/>
    <m/>
    <m/>
  </r>
  <r>
    <n v="1"/>
    <n v="30"/>
    <s v="Escuela Finca 44"/>
    <s v="Bocas del Toro"/>
    <x v="0"/>
    <s v="Changuinola"/>
    <x v="0"/>
    <n v="9.474577"/>
    <n v="-82.482877999999999"/>
    <s v="26/06/2017"/>
    <n v="100"/>
    <n v="1337"/>
    <x v="28"/>
    <s v="C&amp;W Panamá"/>
    <s v="Sí"/>
    <x v="23"/>
    <s v="OFICIAL"/>
    <s v="ACTIVA"/>
    <s v="URBANA"/>
    <s v="NO"/>
    <s v="PREESCOLAR-PRIMARIA"/>
  </r>
  <r>
    <n v="1"/>
    <n v="20"/>
    <s v="Instituto Profesional y técnico de Bocas del Toro"/>
    <s v="Bocas del Toro"/>
    <x v="0"/>
    <s v="Changuinola"/>
    <x v="3"/>
    <n v="9.4714100000000006"/>
    <n v="-82.515739999999994"/>
    <s v="26/06/2017"/>
    <n v="318"/>
    <n v="4450"/>
    <x v="29"/>
    <s v="C&amp;W Panamá"/>
    <s v="Sí"/>
    <x v="24"/>
    <s v="OFICIAL"/>
    <s v="ACTIVA"/>
    <s v="RURAL"/>
    <s v="NO"/>
    <s v="PRIMARIA"/>
  </r>
  <r>
    <n v="1"/>
    <n v="39"/>
    <s v="Universidad de Panamá El Empalme"/>
    <s v="Bocas del Toro"/>
    <x v="0"/>
    <s v="El Empalme"/>
    <x v="0"/>
    <n v="9.4156689999999994"/>
    <n v="-82.526246"/>
    <s v="11/07/2017"/>
    <n v="100"/>
    <n v="1434"/>
    <x v="30"/>
    <s v="C&amp;W Panamá"/>
    <s v="Sí"/>
    <x v="5"/>
    <m/>
    <m/>
    <m/>
    <m/>
    <m/>
  </r>
  <r>
    <n v="1"/>
    <n v="27"/>
    <s v="C.E.B.G. Finca 32"/>
    <s v="Bocas del Toro"/>
    <x v="0"/>
    <s v="Changuinola"/>
    <x v="3"/>
    <n v="9.4270239999999994"/>
    <n v="-82.555803999999995"/>
    <s v="27/06/2017"/>
    <n v="224"/>
    <n v="3301"/>
    <x v="31"/>
    <s v="C&amp;W Panamá"/>
    <s v="Sí"/>
    <x v="25"/>
    <s v="PARTICULAR"/>
    <s v="ACTIVA"/>
    <s v="URBANA"/>
    <s v="NO"/>
    <s v="PREESCOLAR-PRIMARIA-PREMEDIA-MEDIA ACADÉMICA"/>
  </r>
  <r>
    <n v="1"/>
    <n v="31"/>
    <s v="Escuela Finca 64"/>
    <s v="Bocas del Toro"/>
    <x v="0"/>
    <s v="Changuinola"/>
    <x v="0"/>
    <n v="9.4589680000000005"/>
    <n v="-82.496082000000001"/>
    <s v="02/08/2017"/>
    <n v="372"/>
    <n v="5681"/>
    <x v="32"/>
    <s v="C&amp;W Panamá"/>
    <s v="Sí"/>
    <x v="26"/>
    <s v="OFICIAL"/>
    <s v="ACTIVA"/>
    <s v="URBANA"/>
    <s v="NO"/>
    <s v="PREESCOLAR-PRIMARIA"/>
  </r>
  <r>
    <n v="1"/>
    <n v="33"/>
    <s v="C.E.B.G. Finca 04"/>
    <s v="Bocas del Toro"/>
    <x v="0"/>
    <s v="El Empalme"/>
    <x v="0"/>
    <n v="9.4058150000000005"/>
    <n v="-82.501580000000004"/>
    <s v="27/06/2017"/>
    <n v="137"/>
    <n v="2157"/>
    <x v="33"/>
    <s v="C&amp;W Panamá"/>
    <s v="Sí"/>
    <x v="27"/>
    <s v="OFICIAL"/>
    <s v="ACTIVA"/>
    <s v="RURAL"/>
    <s v="NO"/>
    <s v="PREESCOLAR-PRIMARIA-PREMEDIA"/>
  </r>
  <r>
    <n v="1"/>
    <n v="6"/>
    <s v="Col. Sec. de Almirante"/>
    <s v="Bocas del Toro"/>
    <x v="1"/>
    <s v="Puerto Almirante"/>
    <x v="0"/>
    <n v="9.2997409999999991"/>
    <n v="-82.413301000000004"/>
    <s v="10/07/2017"/>
    <n v="120"/>
    <n v="1993"/>
    <x v="34"/>
    <s v="C&amp;W Panamá"/>
    <s v="Sí"/>
    <x v="28"/>
    <s v="OFICIAL"/>
    <s v="ACTIVA"/>
    <s v="RURAL"/>
    <s v="NO"/>
    <s v="PRIMARIA"/>
  </r>
  <r>
    <n v="1"/>
    <n v="1651"/>
    <s v="Hospital Guillermo Sánchez Borbón"/>
    <s v="Bocas del Toro"/>
    <x v="3"/>
    <s v="Bocas del Toro"/>
    <x v="0"/>
    <n v="9.3605420000000006"/>
    <n v="-82.253090999999998"/>
    <m/>
    <n v="139"/>
    <n v="2292"/>
    <x v="35"/>
    <s v="C&amp;W Panamá"/>
    <s v="Sí"/>
    <x v="5"/>
    <m/>
    <m/>
    <m/>
    <m/>
    <m/>
  </r>
  <r>
    <n v="1"/>
    <n v="28"/>
    <s v="C.E.B.G. FINCA 62"/>
    <s v="Bocas del Toro"/>
    <x v="0"/>
    <s v="Changuinola"/>
    <x v="2"/>
    <n v="9.4372679999999995"/>
    <n v="-82.497184000000004"/>
    <s v="26/06/2017"/>
    <n v="279"/>
    <n v="4745"/>
    <x v="36"/>
    <s v="C&amp;W Panamá"/>
    <s v="Sí"/>
    <x v="29"/>
    <s v="OFICIAL"/>
    <s v="ACTIVA"/>
    <s v="URBANA"/>
    <s v="NO"/>
    <s v="PREESCOLAR-PRIMARIA-PREMEDIA"/>
  </r>
  <r>
    <n v="1"/>
    <n v="17"/>
    <s v="Escuela Finca 41"/>
    <s v="Bocas del Toro"/>
    <x v="0"/>
    <s v="Changuinola"/>
    <x v="0"/>
    <n v="9.4711029999999994"/>
    <n v="-82.513953999999998"/>
    <s v="27/06/2017"/>
    <n v="83"/>
    <n v="1418"/>
    <x v="37"/>
    <s v="C&amp;W Panamá"/>
    <s v="Sí"/>
    <x v="30"/>
    <s v="OFICIAL"/>
    <s v="ACTIVA"/>
    <s v="INDIGENA"/>
    <s v="SI"/>
    <s v="PREESCOLAR-PRIMARIA"/>
  </r>
  <r>
    <n v="1"/>
    <n v="21"/>
    <s v="Palacio Municipal Changuinola"/>
    <s v="Bocas del Toro"/>
    <x v="0"/>
    <s v="Changuinola"/>
    <x v="0"/>
    <n v="9.4545820000000003"/>
    <n v="-82.516881999999995"/>
    <s v="26/06/2017"/>
    <n v="134"/>
    <n v="2469"/>
    <x v="38"/>
    <s v="C&amp;W Panamá"/>
    <s v="Sí"/>
    <x v="5"/>
    <m/>
    <m/>
    <m/>
    <m/>
    <m/>
  </r>
  <r>
    <n v="1"/>
    <n v="35"/>
    <s v="Escuela El Empalme"/>
    <s v="Bocas del Toro"/>
    <x v="0"/>
    <s v="El Empalme"/>
    <x v="0"/>
    <n v="9.4200789999999994"/>
    <n v="-82.520909000000003"/>
    <s v="29/06/2017"/>
    <n v="128"/>
    <n v="2444"/>
    <x v="39"/>
    <s v="C&amp;W Panamá"/>
    <s v="Sí"/>
    <x v="31"/>
    <s v="OFICIAL"/>
    <s v="ACTIVA"/>
    <s v="URBANA"/>
    <s v="NO"/>
    <s v="PREESCOLAR-PRIMARIA-PREMEDIA"/>
  </r>
  <r>
    <n v="1"/>
    <n v="19"/>
    <s v="Hospital Changuinola"/>
    <s v="Bocas del Toro"/>
    <x v="0"/>
    <s v="Changuinola"/>
    <x v="0"/>
    <n v="9.4490429999999996"/>
    <n v="-82.516495000000006"/>
    <s v="29/06/2017"/>
    <n v="212"/>
    <n v="4505"/>
    <x v="40"/>
    <s v="C&amp;W Panamá"/>
    <s v="Sí"/>
    <x v="5"/>
    <m/>
    <m/>
    <m/>
    <m/>
    <m/>
  </r>
  <r>
    <n v="1"/>
    <n v="1367"/>
    <s v="Parque de Rambala"/>
    <s v="Bocas del Toro"/>
    <x v="2"/>
    <s v="Rambala"/>
    <x v="0"/>
    <n v="8.9178320000000006"/>
    <n v="-82.185001"/>
    <s v="03/08/2017"/>
    <n v="192"/>
    <n v="4044"/>
    <x v="40"/>
    <s v="C&amp;W Panamá"/>
    <s v="Sí"/>
    <x v="5"/>
    <m/>
    <m/>
    <m/>
    <m/>
    <m/>
  </r>
  <r>
    <n v="1"/>
    <n v="24"/>
    <s v="Policia de la Niñez y Adolescencia"/>
    <s v="Bocas del Toro"/>
    <x v="0"/>
    <s v="Changuinola"/>
    <x v="0"/>
    <n v="9.4776340000000001"/>
    <n v="-82.508425000000003"/>
    <s v="27/06/2017"/>
    <n v="251"/>
    <n v="5699"/>
    <x v="41"/>
    <s v="C&amp;W Panamá"/>
    <s v="Sí"/>
    <x v="5"/>
    <m/>
    <m/>
    <m/>
    <m/>
    <m/>
  </r>
  <r>
    <n v="1"/>
    <n v="7"/>
    <s v="Escuela Almirante"/>
    <s v="Bocas del Toro"/>
    <x v="1"/>
    <s v="Puerto Almirante"/>
    <x v="0"/>
    <n v="9.2927149999999994"/>
    <n v="-82.394886999999997"/>
    <s v="28/06/2017"/>
    <n v="53"/>
    <n v="1259"/>
    <x v="42"/>
    <s v="C&amp;W Panamá"/>
    <s v="Sí"/>
    <x v="32"/>
    <s v="OFICIAL"/>
    <s v="ACTIVA"/>
    <s v="RURAL"/>
    <s v="NO"/>
    <s v="PREESCOLAR-PRIMARIA-PREMEDIA"/>
  </r>
  <r>
    <n v="1"/>
    <n v="1629"/>
    <s v="AMP - Isla Colón"/>
    <s v="Bocas del Toro"/>
    <x v="3"/>
    <s v="Bocas del Toro"/>
    <x v="0"/>
    <n v="9.3390799999999992"/>
    <n v="-82.239630000000005"/>
    <m/>
    <n v="22"/>
    <n v="800"/>
    <x v="43"/>
    <s v="C&amp;W Panamá"/>
    <s v="Sí"/>
    <x v="5"/>
    <m/>
    <m/>
    <m/>
    <m/>
    <m/>
  </r>
  <r>
    <n v="1"/>
    <n v="1369"/>
    <s v="Bomberos Isla Colon"/>
    <s v="Bocas del Toro"/>
    <x v="3"/>
    <s v="Bocas del Toro"/>
    <x v="0"/>
    <n v="9.2030419999999999"/>
    <n v="-82.142238000000006"/>
    <s v="23/11/2017"/>
    <n v="26"/>
    <n v="1091"/>
    <x v="44"/>
    <s v="C&amp;W Panamá"/>
    <s v="Sí"/>
    <x v="5"/>
    <m/>
    <m/>
    <m/>
    <m/>
    <m/>
  </r>
  <r>
    <n v="1"/>
    <n v="40"/>
    <s v="Universidad de Panamá- Sede Agropecuaria"/>
    <s v="Bocas del Toro"/>
    <x v="0"/>
    <s v="El Empalme"/>
    <x v="0"/>
    <n v="9.4953570000000003"/>
    <n v="-82.586636999999996"/>
    <s v="27/06/2017"/>
    <n v="27"/>
    <n v="1217"/>
    <x v="45"/>
    <s v="C&amp;W Panamá"/>
    <s v="Sí"/>
    <x v="5"/>
    <m/>
    <m/>
    <m/>
    <m/>
    <m/>
  </r>
  <r>
    <n v="1"/>
    <n v="3"/>
    <s v="Escuela República de Nicaragua"/>
    <s v="Bocas del Toro"/>
    <x v="3"/>
    <s v="Bocas del Toro"/>
    <x v="0"/>
    <n v="9.3389380000000006"/>
    <n v="-82.242667999999995"/>
    <s v="12/07/2017"/>
    <n v="24"/>
    <n v="1097"/>
    <x v="45"/>
    <s v="C&amp;W Panamá"/>
    <s v="Sí"/>
    <x v="33"/>
    <s v="OFICIAL"/>
    <s v="ACTIVA"/>
    <s v="INDIGENA"/>
    <s v="SI"/>
    <s v="PREESCOLAR-PRIMARIA-PREMEDIA"/>
  </r>
  <r>
    <n v="1"/>
    <n v="26"/>
    <s v="Terminal de Transporte Sincotavecop"/>
    <s v="Bocas del Toro"/>
    <x v="0"/>
    <s v="Changuinola"/>
    <x v="0"/>
    <n v="9.4498580000000008"/>
    <n v="-82.518679000000006"/>
    <s v="29/06/2017"/>
    <n v="180"/>
    <n v="8502"/>
    <x v="46"/>
    <s v="C&amp;W Panamá"/>
    <s v="Sí"/>
    <x v="5"/>
    <m/>
    <m/>
    <m/>
    <m/>
    <m/>
  </r>
  <r>
    <n v="1"/>
    <n v="1650"/>
    <s v="Policía Nacional Changuinola"/>
    <s v="Bocas del Toro"/>
    <x v="0"/>
    <s v="Changuinola"/>
    <x v="0"/>
    <n v="9.4485499999999991"/>
    <n v="-82.518296000000007"/>
    <m/>
    <n v="15"/>
    <n v="1412"/>
    <x v="47"/>
    <s v="C&amp;W Panamá"/>
    <s v="Sí"/>
    <x v="5"/>
    <m/>
    <m/>
    <m/>
    <m/>
    <m/>
  </r>
  <r>
    <n v="1"/>
    <n v="5"/>
    <s v="Parque Simón Bolívar"/>
    <s v="Bocas del Toro"/>
    <x v="3"/>
    <s v="Bocas del Toro"/>
    <x v="0"/>
    <n v="9.3401829999999997"/>
    <n v="-82.240630999999993"/>
    <s v="12/07/2017"/>
    <n v="132"/>
    <m/>
    <x v="48"/>
    <m/>
    <m/>
    <x v="5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SUBSISTEMA REGULAR"/>
    <s v="BOCAS DEL TORO"/>
    <x v="0"/>
    <s v="ALMIRANTE"/>
    <s v="BOCAS DEL TORO"/>
    <s v="URBANA"/>
    <s v="No "/>
    <s v="OFICIAL"/>
    <s v="ACTIVA"/>
    <s v="NO"/>
    <s v="DEC.18 DE 19 DE ABRIL DE 1915"/>
    <m/>
    <s v="PREESCOLAR-PRIMARIA"/>
    <m/>
  </r>
  <r>
    <x v="1"/>
    <s v="SUBSISTEMA REGULAR"/>
    <s v="BOCAS DEL TORO"/>
    <x v="0"/>
    <s v="ALMIRANTE"/>
    <s v="BOCAS DEL TORO"/>
    <s v="INDIGENA"/>
    <s v="No "/>
    <s v="OFICIAL"/>
    <s v="ACTIVA"/>
    <s v="SI"/>
    <s v="NO ESPECIFICADO"/>
    <m/>
    <s v="PRIMARIA"/>
    <m/>
  </r>
  <r>
    <x v="2"/>
    <s v="SUBSISTEMA REGULAR"/>
    <s v="BOCAS DEL TORO"/>
    <x v="0"/>
    <s v="ALMIRANTE"/>
    <s v="BOCAS DEL TORO"/>
    <s v="INDIGENA"/>
    <s v="No "/>
    <s v="OFICIAL"/>
    <s v="ACTIVA"/>
    <s v="SI"/>
    <s v="NO ESPECIFICADO"/>
    <m/>
    <s v="PREESCOLAR-PRIMARIA"/>
    <m/>
  </r>
  <r>
    <x v="3"/>
    <s v="SUBSISTEMA REGULAR"/>
    <s v="BOCAS DEL TORO"/>
    <x v="0"/>
    <s v="ALMIRANTE"/>
    <s v="BOCAS DEL TORO"/>
    <s v="RURAL"/>
    <s v="No "/>
    <s v="OFICIAL"/>
    <s v="ACTIVA"/>
    <s v="NO"/>
    <s v="DEC. 718 DE 30 DE AGOSTO DE 1961"/>
    <s v="El dect. 418 de 30 de agosto de 1961 crea la escuela RIO DEL OESTE"/>
    <s v="PREESCOLAR-PRIMARIA"/>
    <m/>
  </r>
  <r>
    <x v="4"/>
    <s v="SUBSISTEMA REGULAR"/>
    <s v="BOCAS DEL TORO"/>
    <x v="0"/>
    <s v="ALMIRANTE"/>
    <s v="BOCAS DEL TORO"/>
    <s v="RURAL"/>
    <s v="No "/>
    <s v="OFICIAL"/>
    <s v="ACTIVA"/>
    <s v="NO"/>
    <s v="DEC. 20 DE 31 DE ENERO DE 1972"/>
    <m/>
    <s v="PREESCOLAR-PRIMARIA-PREMEDIA"/>
    <m/>
  </r>
  <r>
    <x v="5"/>
    <s v="SUBSISTEMA REGULAR"/>
    <s v="BOCAS DEL TORO"/>
    <x v="0"/>
    <s v="BAJO CULUBRE"/>
    <s v="BOCAS DEL TORO"/>
    <s v="INDIGENA"/>
    <s v="No "/>
    <s v="OFICIAL"/>
    <s v="ACTIVA"/>
    <s v="SI"/>
    <s v="DEC. 1071 DEL 25 DE NOVIEMBRE DE 2016"/>
    <s v="que crea los centros educativos que implementan el Programa de Educacion Premedia y Media con metodologia Escuela Nueva Escuela Activa (ENEA)"/>
    <s v="PREESCOLAR-PRIMARIA-PREMEDIA-MEDIA PROFESIONAL Y TÉCNICA"/>
    <s v="COMERCIO"/>
  </r>
  <r>
    <x v="6"/>
    <s v="SUBSISTEMA REGULAR"/>
    <s v="BOCAS DEL TORO"/>
    <x v="1"/>
    <s v="BOCAS DEL TORO"/>
    <s v="BOCAS DEL TORO"/>
    <s v="RURAL"/>
    <s v="No "/>
    <s v="OFICIAL"/>
    <s v="ACTIVA"/>
    <s v="NO"/>
    <s v="DEC.18 DE 19 DE ABRIL DE 1915"/>
    <s v="El dect. 18 de 19 de abril  de 1915 crea la escuela Alternada de Boca del Drago"/>
    <s v="PREESCOLAR-PRIMARIA"/>
    <m/>
  </r>
  <r>
    <x v="7"/>
    <s v="SUBSISTEMA REGULAR"/>
    <s v="BOCAS DEL TORO"/>
    <x v="1"/>
    <s v="BOCAS DEL TORO"/>
    <s v="BOCAS DEL TORO"/>
    <s v="RURAL"/>
    <s v="No "/>
    <s v="OFICIAL"/>
    <s v="ACTIVA"/>
    <s v="NO"/>
    <s v="NO ESPECIFICADO"/>
    <m/>
    <s v="PRIMARIA"/>
    <m/>
  </r>
  <r>
    <x v="8"/>
    <s v="SUBSISTEMA REGULAR"/>
    <s v="BOCAS DEL TORO"/>
    <x v="1"/>
    <s v="BOCAS DEL TORO"/>
    <s v="BOCAS DEL TORO"/>
    <s v="RURAL"/>
    <s v="No "/>
    <s v="OFICIAL"/>
    <s v="ACTIVA"/>
    <s v="NO"/>
    <s v="NO ESPECIFICADO"/>
    <m/>
    <s v="PRIMARIA"/>
    <m/>
  </r>
  <r>
    <x v="9"/>
    <s v="SUBSISTEMA REGULAR"/>
    <s v="BOCAS DEL TORO"/>
    <x v="0"/>
    <s v="CAUCHERO"/>
    <s v="BOCAS DEL TORO"/>
    <s v="RURAL"/>
    <s v="No "/>
    <s v="OFICIAL"/>
    <s v="ACTIVA"/>
    <s v="NO"/>
    <s v="NO ESPECIFICADO"/>
    <m/>
    <s v="PREESCOLAR-PRIMARIA-PREMEDIA"/>
    <m/>
  </r>
  <r>
    <x v="10"/>
    <s v="SUBSISTEMA EDJA"/>
    <s v="BOCAS DEL TORO"/>
    <x v="2"/>
    <s v="CHANGUINOLA"/>
    <s v="BOCAS DEL TORO"/>
    <s v="URBANA"/>
    <s v="No "/>
    <s v="OFICIAL"/>
    <s v="ACTIVA"/>
    <s v="NO"/>
    <s v="NO ESPECIFICADO"/>
    <m/>
    <s v="PREMEDIA"/>
    <s v="CIENCIAS"/>
  </r>
  <r>
    <x v="11"/>
    <s v="SUBSISTEMA REGULAR"/>
    <s v="BOCAS DEL TORO"/>
    <x v="2"/>
    <s v="CHANGUINOLA"/>
    <s v="BOCAS DEL TORO"/>
    <s v="URBANA"/>
    <s v="No "/>
    <s v="PARTICULAR"/>
    <s v="ACTIVA"/>
    <s v="NO"/>
    <s v="NO ESPECIFICADO"/>
    <m/>
    <s v="PREESCOLAR-PRIMARIA-PREMEDIA-MEDIA ACADÉMICA"/>
    <s v="CIENCIAS"/>
  </r>
  <r>
    <x v="12"/>
    <s v="SUBSISTEMA EDJA"/>
    <s v="BOCAS DEL TORO"/>
    <x v="2"/>
    <s v="CHANGUINOLA"/>
    <s v="BOCAS DEL TORO"/>
    <s v="URBANA"/>
    <s v="No "/>
    <s v="PARTICULAR"/>
    <s v="ACTIVA"/>
    <s v="NO"/>
    <s v="RES.4642 DEL 22 DE SEP. 2021 POR EL CUAL AUTORIZA FUNCIONAMIENTO"/>
    <m/>
    <s v="PREMEDIA"/>
    <s v="CIENCIAS, HUMANIDADES, COMERCIO"/>
  </r>
  <r>
    <x v="13"/>
    <s v="SUBSISTEMA EDJA"/>
    <s v="BOCAS DEL TORO"/>
    <x v="2"/>
    <s v="CHANGUINOLA"/>
    <s v="BOCAS DEL TORO"/>
    <s v="URBANA"/>
    <s v="No "/>
    <s v="PARTICULAR"/>
    <s v="ACTIVA"/>
    <s v="NO"/>
    <s v="NO ESPECIFICADO"/>
    <m/>
    <s v="PREMEDIA- MEDIA"/>
    <m/>
  </r>
  <r>
    <x v="14"/>
    <s v="SUBSISTEMA EDJA"/>
    <s v="BOCAS DEL TORO"/>
    <x v="2"/>
    <s v="CHANGUINOLA"/>
    <s v="BOCAS DEL TORO"/>
    <s v="RURAL"/>
    <s v="No "/>
    <s v="OFICIAL"/>
    <s v="ACTIVA"/>
    <s v="NO"/>
    <s v="NO ESPECIFICADO"/>
    <m/>
    <s v="PREMEDIA-MEDIA ACADÉMICA-MEDIA PROFESIONAL Y TÉCNICA"/>
    <s v="CIENCIAS"/>
  </r>
  <r>
    <x v="15"/>
    <s v="SUBSISTEMA EDJA"/>
    <s v="BOCAS DEL TORO"/>
    <x v="2"/>
    <s v="CHANGUINOLA"/>
    <s v="BOCAS DEL TORO"/>
    <s v="RURAL"/>
    <s v="No "/>
    <s v="OFICIAL"/>
    <s v="ACTIVA"/>
    <s v="NO"/>
    <s v="NO ESPECIFICADO"/>
    <m/>
    <s v=" PREMEDIA-MEDIA ACADÉMICA"/>
    <m/>
  </r>
  <r>
    <x v="16"/>
    <s v="SUBSISTEMA REGULAR"/>
    <s v="BOCAS DEL TORO"/>
    <x v="3"/>
    <s v="CHIRIQUÍ GRANDE"/>
    <s v="BOCAS DEL TORO"/>
    <s v="INDIGENA"/>
    <s v="No "/>
    <s v="OFICIAL"/>
    <s v="ACTIVA"/>
    <s v="SI"/>
    <s v="DEC. 128, DEL 3 DE MARZO DEL 2017 QUE CREA EL C.E.B.G. LAS PIÑAS"/>
    <m/>
    <s v="PREESCOLAR-PRIMARIA"/>
    <m/>
  </r>
  <r>
    <x v="17"/>
    <s v="SUBSISTEMA REGULAR"/>
    <s v="BOCAS DEL TORO"/>
    <x v="3"/>
    <s v="CHIRIQUÍ GRANDE"/>
    <s v="BOCAS DEL TORO"/>
    <s v="INDIGENA"/>
    <s v="No "/>
    <s v="OFICIAL"/>
    <s v="ACTIVA"/>
    <s v="SI"/>
    <s v="NO ESPECIFICADO"/>
    <m/>
    <s v="PREESCOLAR-PRIMARIA-PREMEDIA"/>
    <m/>
  </r>
  <r>
    <x v="18"/>
    <s v="SUBSISTEMA REGULAR"/>
    <s v="BOCAS DEL TORO"/>
    <x v="2"/>
    <s v="EL TERIBE"/>
    <s v="BOCAS DEL TORO"/>
    <s v="INDIGENA"/>
    <s v="NASO"/>
    <s v="OFICIAL"/>
    <s v="ACTIVA"/>
    <s v="SI"/>
    <s v="NO ESPECIFICADO"/>
    <m/>
    <s v="PRIMARIA"/>
    <m/>
  </r>
  <r>
    <x v="19"/>
    <s v="SUBSISTEMA REGULAR"/>
    <s v="BOCAS DEL TORO"/>
    <x v="2"/>
    <s v="EL TERIBE"/>
    <s v="BOCAS DEL TORO"/>
    <s v="INDIGENA"/>
    <s v="NASO"/>
    <s v="OFICIAL"/>
    <s v="ACTIVA"/>
    <s v="SI"/>
    <s v="NO ESPECIFICADO"/>
    <m/>
    <s v="PREESCOLAR-PRIMARIA"/>
    <m/>
  </r>
  <r>
    <x v="20"/>
    <s v="SUBSISTEMA REGULAR"/>
    <s v="BOCAS DEL TORO"/>
    <x v="2"/>
    <s v="EL TERIBE"/>
    <s v="BOCAS DEL TORO"/>
    <s v="INDIGENA"/>
    <s v="No "/>
    <s v="OFICIAL"/>
    <s v="ACTIVA"/>
    <s v="SI"/>
    <s v="NO ESPECIFICADO"/>
    <m/>
    <s v="PREESCOLAR-PRIMARIA"/>
    <m/>
  </r>
  <r>
    <x v="21"/>
    <s v="SUBSISTEMA REGULAR"/>
    <s v="BOCAS DEL TORO"/>
    <x v="2"/>
    <s v="EL TERIBE"/>
    <s v="BOCAS DEL TORO"/>
    <s v="INDIGENA"/>
    <s v="NASO"/>
    <s v="OFICIAL"/>
    <s v="ACTIVA"/>
    <s v="SI"/>
    <s v="NO ESPECIFICADO"/>
    <m/>
    <s v="PRIMARIA"/>
    <m/>
  </r>
  <r>
    <x v="22"/>
    <s v="SUBSISTEMA REGULAR"/>
    <s v="BOCAS DEL TORO"/>
    <x v="2"/>
    <s v="FINCA 06"/>
    <s v="BOCAS DEL TORO"/>
    <s v="URBANA"/>
    <s v="No "/>
    <s v="OFICIAL"/>
    <s v="ACTIVA"/>
    <s v="NO"/>
    <s v="DEC.  446 DEL 14 DE AGOSTO DE 2018 INCORPORA LA DENOMINACION BILINGÜE AL NOMBRE"/>
    <m/>
    <s v="PREESCOLAR-PRIMARIA"/>
    <m/>
  </r>
  <r>
    <x v="23"/>
    <s v="SUBSISTEMA REGULAR"/>
    <s v="BOCAS DEL TORO"/>
    <x v="2"/>
    <s v="FINCA 06"/>
    <s v="BOCAS DEL TORO"/>
    <s v="URBANA"/>
    <s v="No "/>
    <s v="OFICIAL"/>
    <s v="ACTIVA"/>
    <s v="NO"/>
    <s v="NO ESPECIFICADO"/>
    <m/>
    <s v="PREESCOLAR-PRIMARIA"/>
    <m/>
  </r>
  <r>
    <x v="24"/>
    <s v="SUBSISTEMA REGULAR"/>
    <s v="BOCAS DEL TORO"/>
    <x v="2"/>
    <s v="FINCA 06"/>
    <s v="BOCAS DEL TORO"/>
    <s v="URBANA"/>
    <s v="No "/>
    <s v="OFICIAL"/>
    <s v="ACTIVA"/>
    <s v="NO"/>
    <s v="DEC.763 DE 9 DE DICIEMBRE DE 1969"/>
    <m/>
    <s v="PREESCOLAR-PRIMARIA"/>
    <m/>
  </r>
  <r>
    <x v="25"/>
    <s v="SUBSISTEMA REGULAR"/>
    <s v="BOCAS DEL TORO"/>
    <x v="2"/>
    <s v="FINCA 06"/>
    <s v="BOCAS DEL TORO"/>
    <s v="URBANA"/>
    <s v="No "/>
    <s v="OFICIAL"/>
    <s v="ACTIVA"/>
    <s v="NO"/>
    <s v="DEC. 87 DE 23 DE MAYO DE 1970 "/>
    <s v="El dect. 87 de 23 de mayo de 1970 crea el Primer Ciclo de Changuinola.  El dect.  99 de 5 de mayo de 1986 fusiona los colegios I.P.T. de Bocas del Toro y el Primer Ciclo de Changuinola"/>
    <s v="PREMEDIA-MEDIA ACADÉMICA-MEDIA PROFESIONAL Y TÉCNICA"/>
    <s v="CIENCIAS, AUTOTRONICA, ELECTRICIDAD ELECTRÓNICA ,TECN.MECÁNICA, CONSTRUCCION SERV.Y GEST INST,  EBANISTERIA "/>
  </r>
  <r>
    <x v="26"/>
    <s v="SUBSISTEMA REGULAR"/>
    <s v="BOCAS DEL TORO"/>
    <x v="2"/>
    <s v="LA GLORIA"/>
    <s v="BOCAS DEL TORO"/>
    <s v="RURAL"/>
    <s v="No "/>
    <s v="OFICIAL"/>
    <s v="ACTIVA"/>
    <s v="NO"/>
    <s v="NO ESPECIFICADO"/>
    <m/>
    <s v="PREESCOLAR-PRIMARIA"/>
    <m/>
  </r>
  <r>
    <x v="27"/>
    <s v="SUBSISTEMA REGULAR"/>
    <s v="BOCAS DEL TORO"/>
    <x v="2"/>
    <s v="LA GLORIA"/>
    <s v="BOCAS DEL TORO"/>
    <s v="RURAL"/>
    <s v="No "/>
    <s v="OFICIAL"/>
    <s v="ACTIVA"/>
    <s v="NO"/>
    <s v="NO ESPECIFICADO"/>
    <m/>
    <s v="PREESCOLAR-PRIMARIA-PREMEDIA"/>
    <m/>
  </r>
  <r>
    <x v="28"/>
    <s v="SUBSISTEMA REGULAR"/>
    <s v="BOCAS DEL TORO"/>
    <x v="2"/>
    <s v="LAS DELICIAS"/>
    <s v="BOCAS DEL TORO"/>
    <s v="INDIGENA"/>
    <s v="No "/>
    <s v="OFICIAL"/>
    <s v="ACTIVA"/>
    <s v="SI"/>
    <s v="DEC.415 DEL 23 DE AGOSTO DE 1963"/>
    <m/>
    <s v="PREESCOLAR-PRIMARIA"/>
    <m/>
  </r>
  <r>
    <x v="29"/>
    <s v="SUBSISTEMA REGULAR"/>
    <s v="BOCAS DEL TORO"/>
    <x v="1"/>
    <s v="PUNTA LAUREL"/>
    <s v="BOCAS DEL TORO"/>
    <s v="RURAL"/>
    <s v="No "/>
    <s v="OFICIAL"/>
    <s v="ACTIVA"/>
    <s v="NO"/>
    <s v="DEC.104 DE 13 DE JUNIO DE 1949"/>
    <m/>
    <s v="PRIMARIA"/>
    <m/>
  </r>
  <r>
    <x v="30"/>
    <s v="SUBSISTEMA REGULAR"/>
    <s v="BOCAS DEL TORO"/>
    <x v="0"/>
    <s v="VALLE DE AGUAS ARRIBA"/>
    <s v="BOCAS DEL TORO"/>
    <s v="RURAL"/>
    <s v="No "/>
    <s v="OFICIAL"/>
    <s v="ACTIVA"/>
    <s v="NO"/>
    <s v="DEC. 418 DE 30 DE AGOSTO DE 1961"/>
    <s v="El dect. 418 de 30 de agosto de 1961 crea la escuela Valle de Agua, en el municipio de Bocas del Toro"/>
    <s v="PRIMARIA"/>
    <m/>
  </r>
  <r>
    <x v="31"/>
    <s v="SUBSISTEMA REGULAR"/>
    <s v="BOCAS DEL TORO"/>
    <x v="0"/>
    <s v="VALLE DE AGUAS ARRIBA"/>
    <s v="BOCAS DEL TORO"/>
    <s v="INDIGENA"/>
    <s v="No "/>
    <s v="OFICIAL"/>
    <s v="ACTIVA"/>
    <s v="SI"/>
    <s v="DEC. 20 DE 31 DE ENERO DE 1972"/>
    <m/>
    <s v="PREESCOLAR-PRIMARIA-PREMEDIA"/>
    <m/>
  </r>
  <r>
    <x v="32"/>
    <s v="SUBSISTEMA REGULAR"/>
    <s v="BOCAS DEL TORO"/>
    <x v="0"/>
    <s v="VALLE DE AGUAS ARRIBA"/>
    <s v="BOCAS DEL TORO"/>
    <s v="RURAL"/>
    <s v="No "/>
    <s v="OFICIAL"/>
    <s v="ACTIVA"/>
    <s v="NO"/>
    <s v="NO ESPECIFICADO"/>
    <m/>
    <s v="PREESCOLAR-PRIMARI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D444A-CE2B-4850-9DF4-1DB92B6BC72F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 rowHeaderCaption="Distritos">
  <location ref="AE10:AF15" firstHeaderRow="1" firstDataRow="1" firstDataCol="1"/>
  <pivotFields count="22"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atos Consumidos (GB)" fld="10" baseField="4" baseItem="0" numFmtId="3"/>
  </dataFields>
  <formats count="3"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</formats>
  <chartFormats count="1"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976D2-013D-4DBE-A507-080567609569}" name="PivotTable1" cacheId="2" applyNumberFormats="0" applyBorderFormats="0" applyFontFormats="0" applyPatternFormats="0" applyAlignmentFormats="0" applyWidthHeightFormats="1" dataCaption="Values" grandTotalCaption="Gran Total" updatedVersion="8" minRefreshableVersion="3" useAutoFormatting="1" itemPrintTitles="1" createdVersion="8" indent="0" outline="1" outlineData="1" multipleFieldFilters="0" rowHeaderCaption="Distritos y sus Centros Educativos">
  <location ref="Y10:AC51" firstHeaderRow="0" firstDataRow="1" firstDataCol="1"/>
  <pivotFields count="22">
    <pivotField dataField="1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35">
        <item x="6"/>
        <item x="31"/>
        <item x="27"/>
        <item x="29"/>
        <item x="19"/>
        <item x="10"/>
        <item x="20"/>
        <item x="28"/>
        <item x="16"/>
        <item x="32"/>
        <item x="8"/>
        <item x="25"/>
        <item x="0"/>
        <item x="14"/>
        <item x="9"/>
        <item x="13"/>
        <item x="15"/>
        <item x="33"/>
        <item x="1"/>
        <item x="30"/>
        <item x="11"/>
        <item x="22"/>
        <item x="23"/>
        <item x="17"/>
        <item x="26"/>
        <item x="18"/>
        <item x="3"/>
        <item x="4"/>
        <item x="2"/>
        <item x="12"/>
        <item x="24"/>
        <item x="7"/>
        <item x="21"/>
        <item n="Otras Instituciones" x="5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4"/>
    <field x="15"/>
  </rowFields>
  <rowItems count="41">
    <i>
      <x/>
    </i>
    <i r="1">
      <x v="7"/>
    </i>
    <i r="1">
      <x v="9"/>
    </i>
    <i r="1">
      <x v="10"/>
    </i>
    <i r="1">
      <x v="13"/>
    </i>
    <i r="1">
      <x v="26"/>
    </i>
    <i r="1">
      <x v="27"/>
    </i>
    <i>
      <x v="1"/>
    </i>
    <i r="1">
      <x v="6"/>
    </i>
    <i r="1">
      <x v="17"/>
    </i>
    <i r="1">
      <x v="33"/>
    </i>
    <i>
      <x v="2"/>
    </i>
    <i r="1">
      <x/>
    </i>
    <i r="1">
      <x v="1"/>
    </i>
    <i r="1">
      <x v="2"/>
    </i>
    <i r="1">
      <x v="3"/>
    </i>
    <i r="1">
      <x v="4"/>
    </i>
    <i r="1">
      <x v="8"/>
    </i>
    <i r="1">
      <x v="11"/>
    </i>
    <i r="1">
      <x v="12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29"/>
    </i>
    <i r="1">
      <x v="30"/>
    </i>
    <i r="1">
      <x v="32"/>
    </i>
    <i r="1">
      <x v="33"/>
    </i>
    <i>
      <x v="3"/>
    </i>
    <i r="1">
      <x v="5"/>
    </i>
    <i r="1">
      <x v="14"/>
    </i>
    <i r="1">
      <x v="15"/>
    </i>
    <i r="1">
      <x v="31"/>
    </i>
    <i r="1">
      <x v="3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untos de Acceso" fld="0" subtotal="count" baseField="4" baseItem="0"/>
    <dataField name="Datos Consumidos (GB)" fld="10" baseField="4" baseItem="0" numFmtId="3"/>
    <dataField name="Sesiones" fld="11" baseField="4" baseItem="0" numFmtId="3"/>
    <dataField name="Avg. de Datos Consumidos por Sesión (MB)" fld="21" baseField="0" baseItem="0"/>
  </dataFields>
  <formats count="11">
    <format dxfId="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2">
      <pivotArea outline="0" collapsedLevelsAreSubtotals="1" fieldPosition="0"/>
    </format>
    <format dxfId="61">
      <pivotArea field="4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9">
      <pivotArea field="4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7">
      <pivotArea field="4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5">
      <pivotArea outline="0" fieldPosition="0">
        <references count="1">
          <reference field="4294967294" count="1">
            <x v="2"/>
          </reference>
        </references>
      </pivotArea>
    </format>
    <format dxfId="54">
      <pivotArea outline="0" fieldPosition="0">
        <references count="1">
          <reference field="4294967294" count="1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5C431-EC75-4F22-A0B5-F6F010866CC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ipo de Conexión">
  <location ref="AE37:AF42" firstHeaderRow="1" firstDataRow="1" firstDataCol="1"/>
  <pivotFields count="22"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axis="axisRow" dataField="1" showAll="0">
      <items count="5">
        <item n="FO (Fibra Óptica)" x="0"/>
        <item n="PTP (Punto a Punto)" x="2"/>
        <item n="HFC (Híbrido de Fibra Coaxial)"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antidades" fld="6" subtotal="count" baseField="0" baseItem="0"/>
  </dataFields>
  <formats count="4"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4C6B5-4203-4885-9DAB-0D67152DA2EF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istritos">
  <location ref="AE26:AF31" firstHeaderRow="1" firstDataRow="1" firstDataCol="1"/>
  <pivotFields count="22"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Consumo (MB)" fld="21" baseField="0" baseItem="0"/>
  </dataFields>
  <formats count="3"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A3D0D-BEDF-4723-8F77-64E16451FAE0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istritos">
  <location ref="AE17:AF22" firstHeaderRow="1" firstDataRow="1" firstDataCol="1"/>
  <pivotFields count="22"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# de Sesiones" fld="11" baseField="4" baseItem="0" numFmtId="3"/>
  </dataFields>
  <formats count="3">
    <format dxfId="73">
      <pivotArea outline="0" collapsedLevelsAreSubtotals="1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694C5-62E7-4369-BC71-A35D4502D59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R8" firstHeaderRow="1" firstDataRow="1" firstDataCol="1"/>
  <pivotFields count="15">
    <pivotField dataField="1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ombre del Centro Educativ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D2BAE-79B8-4295-A3DD-3B3951EC7189}" name="Table1" displayName="Table1" ref="A1:W194" totalsRowShown="0" headerRowDxfId="49" tableBorderDxfId="48">
  <autoFilter ref="A1:W194" xr:uid="{184D2BAE-79B8-4295-A3DD-3B3951EC7189}"/>
  <sortState xmlns:xlrd2="http://schemas.microsoft.com/office/spreadsheetml/2017/richdata2" ref="A2:V55">
    <sortCondition descending="1" ref="N1:N55"/>
  </sortState>
  <tableColumns count="23">
    <tableColumn id="2" xr3:uid="{9DEEA701-AC75-4319-8983-B2158CBC46AC}" name="Región" dataDxfId="47" totalsRowDxfId="46"/>
    <tableColumn id="3" xr3:uid="{80772ABA-3547-4C2D-9187-CB8B115BD50F}" name="PA" dataDxfId="45" totalsRowDxfId="44"/>
    <tableColumn id="1" xr3:uid="{BAD0231C-CC06-490E-88BE-9B853BA9339B}" name="Nombre               (Punto de Acceso)" dataDxfId="43" totalsRowDxfId="42"/>
    <tableColumn id="4" xr3:uid="{84E9D500-0391-45EF-A28B-08009B87A0F4}" name="Provincia" dataDxfId="41" totalsRowDxfId="40"/>
    <tableColumn id="5" xr3:uid="{A996966A-9F96-4420-AF4C-2CD2566AC74E}" name="Distrito" dataDxfId="39" totalsRowDxfId="38"/>
    <tableColumn id="6" xr3:uid="{3EF78435-DEBD-4575-9172-A4B7DA5825E9}" name="Corregimiento" dataDxfId="37" totalsRowDxfId="36"/>
    <tableColumn id="7" xr3:uid="{20993598-695F-4A5F-9410-EA409B4CF7BF}" name="Tipo UM" dataDxfId="35" totalsRowDxfId="34"/>
    <tableColumn id="8" xr3:uid="{36863B6B-72A7-4B89-A55C-8B01DE1929CB}" name="Latitud" dataDxfId="33" totalsRowDxfId="32"/>
    <tableColumn id="9" xr3:uid="{A47A3D31-E2BF-430E-9113-8447CF209041}" name="Longitud" dataDxfId="31" totalsRowDxfId="30"/>
    <tableColumn id="10" xr3:uid="{64F76E69-4FFB-49C4-8FEA-B0849B959077}" name="Fecha de Activación" dataDxfId="29" totalsRowDxfId="28"/>
    <tableColumn id="17" xr3:uid="{FAB04549-56C8-45C9-8131-A43836E3E358}" name="Tiempo Activo (Años)" dataDxfId="27" totalsRowDxfId="26">
      <calculatedColumnFormula>(TODAY()-Table1[[#This Row],[Fecha de Activación]])/365</calculatedColumnFormula>
    </tableColumn>
    <tableColumn id="11" xr3:uid="{ABA11CFE-1E1C-4398-8264-F4A1B46EC78A}" name="Datos (GB)" dataDxfId="25" totalsRowDxfId="24">
      <calculatedColumnFormula>VLOOKUP(Table1[[#This Row],[Nombre               (Punto de Acceso)]],BD_DataTransferida!A2:G55,7,FALSE)</calculatedColumnFormula>
    </tableColumn>
    <tableColumn id="12" xr3:uid="{3090CBD9-8E85-4B28-B864-48C286D41792}" name="Cantidad de Sesiones" dataDxfId="23" totalsRowDxfId="22">
      <calculatedColumnFormula>VLOOKUP(Table1[[#This Row],[Nombre               (Punto de Acceso)]],BD_Sesiones!A1:I55,7,FALSE)</calculatedColumnFormula>
    </tableColumn>
    <tableColumn id="16" xr3:uid="{11DE504E-E08A-40CF-B886-91B66AF31F9B}" name="Promedio de Datos Consumidos por Sesión (MB)" dataDxfId="21" totalsRowDxfId="20">
      <calculatedColumnFormula>TRUNC(Table1[[#This Row],[Datos (GB)]]/Table1[[#This Row],[Cantidad de Sesiones]]*1024)</calculatedColumnFormula>
    </tableColumn>
    <tableColumn id="13" xr3:uid="{60B506CF-DC2D-40AE-A17D-42DB03250076}" name="Proveedor" dataDxfId="19" totalsRowDxfId="18">
      <calculatedColumnFormula>VLOOKUP(Table1[[#This Row],[Nombre               (Punto de Acceso)]],BD_Sesiones!A1:I55,8,FALSE)</calculatedColumnFormula>
    </tableColumn>
    <tableColumn id="14" xr3:uid="{61C42946-6BAE-4A8E-9A18-35CC61817E16}" name="Disponibilidad del Punto de Acceso" dataDxfId="17" totalsRowDxfId="16">
      <calculatedColumnFormula>VLOOKUP(Table1[[#This Row],[Nombre               (Punto de Acceso)]],BD_Sesiones!A1:I55,9,FALSE)</calculatedColumnFormula>
    </tableColumn>
    <tableColumn id="15" xr3:uid="{CEB6E2F8-63B5-4C04-94F9-36B5188CEFDE}" name="Nombres de Centros Educativos (MEDUCA)" dataDxfId="15" totalsRowDxfId="14"/>
    <tableColumn id="18" xr3:uid="{99EB4164-9D20-476B-9785-3C61CBA080D3}" name="Dependencia" dataDxfId="13" totalsRowDxfId="12">
      <calculatedColumnFormula>VLOOKUP(Table1[[#This Row],[Nombres de Centros Educativos (MEDUCA)]],BD_Meduca!A1:N34,9,FALSE)</calculatedColumnFormula>
    </tableColumn>
    <tableColumn id="19" xr3:uid="{77649654-E527-4726-9F1F-30B69F281140}" name="Estatus" dataDxfId="11" totalsRowDxfId="10">
      <calculatedColumnFormula>VLOOKUP(Table1[[#This Row],[Nombres de Centros Educativos (MEDUCA)]],BD_Meduca!A1:N34,10,FALSE)</calculatedColumnFormula>
    </tableColumn>
    <tableColumn id="20" xr3:uid="{F4310EBC-B0E3-43BA-86EC-8D37E70F7D75}" name="Área" dataDxfId="9" totalsRowDxfId="8">
      <calculatedColumnFormula>VLOOKUP(Table1[[#This Row],[Nombres de Centros Educativos (MEDUCA)]],BD_Meduca!A3:N34,7,FALSE)</calculatedColumnFormula>
    </tableColumn>
    <tableColumn id="21" xr3:uid="{F4C95F83-7DE1-4D21-9CD6-5BA5334D64BE}" name="Indígena" dataDxfId="7" totalsRowDxfId="6">
      <calculatedColumnFormula>VLOOKUP(Table1[[#This Row],[Nombres de Centros Educativos (MEDUCA)]],BD_Meduca!A3:N34,11,FALSE)</calculatedColumnFormula>
    </tableColumn>
    <tableColumn id="22" xr3:uid="{850B6E95-8287-4FAD-A4F0-296545312FE7}" name="Nivel Educativo (Oferta 2023)" dataDxfId="5" totalsRowDxfId="4">
      <calculatedColumnFormula>VLOOKUP(Table1[[#This Row],[Nombres de Centros Educativos (MEDUCA)]],BD_Meduca!A3:N34,14,FALSE)</calculatedColumnFormula>
    </tableColumn>
    <tableColumn id="24" xr3:uid="{14B636CD-2B15-4E71-A502-B34FEE10CAD5}" name="Centros Educativos sin Punto de Acceso a Internet de la RNI" totalsRow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08F52-6DF1-4CDC-B119-528DD54BBB1B}" name="Table2" displayName="Table2" ref="AE52:AF55" totalsRowShown="0" headerRowDxfId="2">
  <autoFilter ref="AE52:AF55" xr:uid="{49D08F52-6DF1-4CDC-B119-528DD54BBB1B}"/>
  <tableColumns count="2">
    <tableColumn id="1" xr3:uid="{5110280D-BDEF-40AF-9D52-6BDB733C0144}" name="Descripción"/>
    <tableColumn id="2" xr3:uid="{48CD4684-3572-433E-BBB2-49C715A36AE6}" name="Cantida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ABA7-E231-46E9-A6C1-591598E464B5}">
  <dimension ref="A1:AF194"/>
  <sheetViews>
    <sheetView tabSelected="1" zoomScale="70" zoomScaleNormal="70" workbookViewId="0">
      <selection activeCell="I63" sqref="I63"/>
    </sheetView>
  </sheetViews>
  <sheetFormatPr defaultRowHeight="14.4" x14ac:dyDescent="0.3"/>
  <cols>
    <col min="1" max="1" width="10.44140625" customWidth="1"/>
    <col min="2" max="2" width="14.33203125" bestFit="1" customWidth="1"/>
    <col min="3" max="3" width="21.109375" customWidth="1"/>
    <col min="4" max="4" width="26" bestFit="1" customWidth="1"/>
    <col min="5" max="5" width="24.77734375" customWidth="1"/>
    <col min="6" max="6" width="25" bestFit="1" customWidth="1"/>
    <col min="7" max="7" width="19.44140625" bestFit="1" customWidth="1"/>
    <col min="8" max="8" width="18.109375" customWidth="1"/>
    <col min="9" max="9" width="17.33203125" customWidth="1"/>
    <col min="10" max="10" width="21.33203125" customWidth="1"/>
    <col min="11" max="11" width="15.21875" bestFit="1" customWidth="1"/>
    <col min="12" max="12" width="14.5546875" customWidth="1"/>
    <col min="13" max="14" width="22.44140625" bestFit="1" customWidth="1"/>
    <col min="15" max="15" width="19.77734375" customWidth="1"/>
    <col min="16" max="16" width="23.88671875" customWidth="1"/>
    <col min="17" max="17" width="40.109375" customWidth="1"/>
    <col min="18" max="18" width="17.44140625" customWidth="1"/>
    <col min="19" max="19" width="14" customWidth="1"/>
    <col min="20" max="20" width="17.21875" customWidth="1"/>
    <col min="21" max="21" width="9.88671875" customWidth="1"/>
    <col min="22" max="22" width="60.109375" customWidth="1"/>
    <col min="23" max="23" width="48.6640625" customWidth="1"/>
    <col min="24" max="24" width="40.21875" customWidth="1"/>
    <col min="25" max="25" width="35.109375" customWidth="1"/>
    <col min="26" max="26" width="25.44140625" customWidth="1"/>
    <col min="27" max="27" width="23.44140625" customWidth="1"/>
    <col min="28" max="28" width="40.5546875" customWidth="1"/>
    <col min="29" max="29" width="41" customWidth="1"/>
    <col min="30" max="30" width="35.33203125" customWidth="1"/>
    <col min="31" max="31" width="38.44140625" customWidth="1"/>
    <col min="32" max="32" width="26.88671875" customWidth="1"/>
    <col min="33" max="33" width="11.44140625" bestFit="1" customWidth="1"/>
    <col min="34" max="34" width="14.21875" bestFit="1" customWidth="1"/>
    <col min="35" max="35" width="10.5546875" bestFit="1" customWidth="1"/>
    <col min="36" max="36" width="27.44140625" bestFit="1" customWidth="1"/>
    <col min="37" max="37" width="28.109375" bestFit="1" customWidth="1"/>
    <col min="38" max="40" width="25" bestFit="1" customWidth="1"/>
    <col min="41" max="41" width="19.44140625" bestFit="1" customWidth="1"/>
    <col min="42" max="42" width="30.44140625" bestFit="1" customWidth="1"/>
    <col min="43" max="43" width="34.6640625" bestFit="1" customWidth="1"/>
    <col min="44" max="44" width="32.6640625" bestFit="1" customWidth="1"/>
    <col min="45" max="45" width="15.21875" bestFit="1" customWidth="1"/>
    <col min="46" max="46" width="21.77734375" bestFit="1" customWidth="1"/>
    <col min="47" max="48" width="22.44140625" bestFit="1" customWidth="1"/>
    <col min="49" max="49" width="25.77734375" bestFit="1" customWidth="1"/>
    <col min="50" max="50" width="22.5546875" bestFit="1" customWidth="1"/>
    <col min="51" max="51" width="34.6640625" bestFit="1" customWidth="1"/>
    <col min="52" max="52" width="24.77734375" bestFit="1" customWidth="1"/>
    <col min="53" max="53" width="38" bestFit="1" customWidth="1"/>
    <col min="54" max="55" width="13.21875" bestFit="1" customWidth="1"/>
    <col min="56" max="56" width="28.21875" bestFit="1" customWidth="1"/>
    <col min="57" max="61" width="13.21875" bestFit="1" customWidth="1"/>
    <col min="62" max="62" width="16.6640625" bestFit="1" customWidth="1"/>
    <col min="63" max="64" width="20.109375" bestFit="1" customWidth="1"/>
    <col min="65" max="65" width="26" bestFit="1" customWidth="1"/>
    <col min="66" max="66" width="21" bestFit="1" customWidth="1"/>
    <col min="67" max="67" width="21.5546875" bestFit="1" customWidth="1"/>
    <col min="68" max="68" width="16.21875" bestFit="1" customWidth="1"/>
    <col min="69" max="69" width="7" bestFit="1" customWidth="1"/>
    <col min="70" max="70" width="27.44140625" bestFit="1" customWidth="1"/>
    <col min="71" max="71" width="28.109375" bestFit="1" customWidth="1"/>
    <col min="72" max="74" width="25" bestFit="1" customWidth="1"/>
    <col min="75" max="75" width="19.44140625" bestFit="1" customWidth="1"/>
    <col min="76" max="76" width="30.44140625" bestFit="1" customWidth="1"/>
    <col min="77" max="77" width="34.6640625" bestFit="1" customWidth="1"/>
    <col min="78" max="78" width="32.6640625" bestFit="1" customWidth="1"/>
    <col min="79" max="79" width="15.21875" bestFit="1" customWidth="1"/>
    <col min="80" max="80" width="21.77734375" bestFit="1" customWidth="1"/>
    <col min="81" max="82" width="22.44140625" bestFit="1" customWidth="1"/>
    <col min="83" max="83" width="25.77734375" bestFit="1" customWidth="1"/>
    <col min="84" max="84" width="22.5546875" bestFit="1" customWidth="1"/>
    <col min="85" max="85" width="34.6640625" bestFit="1" customWidth="1"/>
    <col min="86" max="86" width="24.77734375" bestFit="1" customWidth="1"/>
    <col min="87" max="87" width="38" bestFit="1" customWidth="1"/>
    <col min="88" max="89" width="13.21875" bestFit="1" customWidth="1"/>
    <col min="90" max="90" width="28.21875" bestFit="1" customWidth="1"/>
    <col min="91" max="95" width="13.21875" bestFit="1" customWidth="1"/>
    <col min="96" max="96" width="16.6640625" bestFit="1" customWidth="1"/>
    <col min="97" max="98" width="20.109375" bestFit="1" customWidth="1"/>
    <col min="99" max="99" width="26" bestFit="1" customWidth="1"/>
    <col min="100" max="100" width="21" bestFit="1" customWidth="1"/>
    <col min="101" max="101" width="21.5546875" bestFit="1" customWidth="1"/>
    <col min="102" max="102" width="16.21875" bestFit="1" customWidth="1"/>
    <col min="103" max="103" width="7" bestFit="1" customWidth="1"/>
    <col min="104" max="104" width="49.21875" bestFit="1" customWidth="1"/>
    <col min="105" max="105" width="28.109375" bestFit="1" customWidth="1"/>
    <col min="106" max="108" width="25" bestFit="1" customWidth="1"/>
    <col min="109" max="109" width="19.44140625" bestFit="1" customWidth="1"/>
    <col min="110" max="110" width="30.44140625" bestFit="1" customWidth="1"/>
    <col min="111" max="111" width="34.6640625" bestFit="1" customWidth="1"/>
    <col min="112" max="112" width="32.6640625" bestFit="1" customWidth="1"/>
    <col min="113" max="113" width="15.21875" bestFit="1" customWidth="1"/>
    <col min="114" max="114" width="21.77734375" bestFit="1" customWidth="1"/>
    <col min="115" max="116" width="22.44140625" bestFit="1" customWidth="1"/>
    <col min="117" max="117" width="25.77734375" bestFit="1" customWidth="1"/>
    <col min="118" max="118" width="22.5546875" bestFit="1" customWidth="1"/>
    <col min="119" max="119" width="34.6640625" bestFit="1" customWidth="1"/>
    <col min="120" max="120" width="24.77734375" bestFit="1" customWidth="1"/>
    <col min="121" max="121" width="38" bestFit="1" customWidth="1"/>
    <col min="122" max="123" width="13.21875" bestFit="1" customWidth="1"/>
    <col min="124" max="124" width="28.21875" bestFit="1" customWidth="1"/>
    <col min="125" max="129" width="13.21875" bestFit="1" customWidth="1"/>
    <col min="130" max="130" width="16.6640625" bestFit="1" customWidth="1"/>
    <col min="131" max="132" width="20.109375" bestFit="1" customWidth="1"/>
    <col min="133" max="133" width="26" bestFit="1" customWidth="1"/>
    <col min="134" max="134" width="21" bestFit="1" customWidth="1"/>
    <col min="135" max="135" width="21.5546875" bestFit="1" customWidth="1"/>
    <col min="136" max="136" width="16.21875" bestFit="1" customWidth="1"/>
    <col min="137" max="137" width="7" bestFit="1" customWidth="1"/>
    <col min="138" max="138" width="19.109375" bestFit="1" customWidth="1"/>
    <col min="139" max="139" width="21.33203125" bestFit="1" customWidth="1"/>
    <col min="140" max="140" width="30.77734375" bestFit="1" customWidth="1"/>
    <col min="141" max="141" width="54" bestFit="1" customWidth="1"/>
  </cols>
  <sheetData>
    <row r="1" spans="1:32" ht="48.6" customHeight="1" x14ac:dyDescent="0.3">
      <c r="A1" s="37" t="s">
        <v>0</v>
      </c>
      <c r="B1" s="31" t="s">
        <v>1</v>
      </c>
      <c r="C1" s="38" t="s">
        <v>205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50" t="s">
        <v>217</v>
      </c>
      <c r="L1" s="33" t="s">
        <v>93</v>
      </c>
      <c r="M1" s="33" t="s">
        <v>199</v>
      </c>
      <c r="N1" s="34" t="s">
        <v>201</v>
      </c>
      <c r="O1" s="33" t="s">
        <v>99</v>
      </c>
      <c r="P1" s="33" t="s">
        <v>200</v>
      </c>
      <c r="Q1" s="35" t="s">
        <v>204</v>
      </c>
      <c r="R1" s="36" t="s">
        <v>193</v>
      </c>
      <c r="S1" s="36" t="s">
        <v>192</v>
      </c>
      <c r="T1" s="36" t="s">
        <v>195</v>
      </c>
      <c r="U1" s="36" t="s">
        <v>202</v>
      </c>
      <c r="V1" s="36" t="s">
        <v>203</v>
      </c>
      <c r="W1" s="57" t="s">
        <v>418</v>
      </c>
    </row>
    <row r="2" spans="1:32" x14ac:dyDescent="0.3">
      <c r="A2" s="1">
        <v>1</v>
      </c>
      <c r="B2" s="1">
        <v>1366</v>
      </c>
      <c r="C2" s="1" t="s">
        <v>75</v>
      </c>
      <c r="D2" s="1" t="s">
        <v>11</v>
      </c>
      <c r="E2" s="1" t="s">
        <v>33</v>
      </c>
      <c r="F2" s="1" t="s">
        <v>33</v>
      </c>
      <c r="G2" s="1" t="s">
        <v>14</v>
      </c>
      <c r="H2" s="1">
        <v>9.4460040000000003</v>
      </c>
      <c r="I2" s="1">
        <v>-82.517251999999999</v>
      </c>
      <c r="J2" s="46">
        <v>42915</v>
      </c>
      <c r="K2" s="48">
        <f ca="1">(TODAY()-Table1[[#This Row],[Fecha de Activación]])/365</f>
        <v>8.4602739726027405</v>
      </c>
      <c r="L2" s="3">
        <f>VLOOKUP(Table1[[#This Row],[Nombre               (Punto de Acceso)]],BD_DataTransferida!A29:G82,7,FALSE)</f>
        <v>348</v>
      </c>
      <c r="M2" s="3">
        <f>VLOOKUP(Table1[[#This Row],[Nombre               (Punto de Acceso)]],BD_Sesiones!A28:I82,7,FALSE)</f>
        <v>823</v>
      </c>
      <c r="N2" s="7">
        <f>TRUNC(Table1[[#This Row],[Datos (GB)]]/Table1[[#This Row],[Cantidad de Sesiones]]*1024)</f>
        <v>432</v>
      </c>
      <c r="O2" s="3" t="str">
        <f>VLOOKUP(Table1[[#This Row],[Nombre               (Punto de Acceso)]],BD_Sesiones!A28:I82,8,FALSE)</f>
        <v>C&amp;W Panamá</v>
      </c>
      <c r="P2" s="3" t="str">
        <f>VLOOKUP(Table1[[#This Row],[Nombre               (Punto de Acceso)]],BD_Sesiones!A28:I82,9,FALSE)</f>
        <v>Sí</v>
      </c>
      <c r="Q2" s="25" t="s">
        <v>142</v>
      </c>
      <c r="R2" s="4" t="str">
        <f>VLOOKUP(Table1[[#This Row],[Nombres de Centros Educativos (MEDUCA)]],BD_Meduca!A8:N58,9,FALSE)</f>
        <v>PARTICULAR</v>
      </c>
      <c r="S2" s="4" t="str">
        <f>VLOOKUP(Table1[[#This Row],[Nombres de Centros Educativos (MEDUCA)]],BD_Meduca!A8:N58,10,FALSE)</f>
        <v>ACTIVA</v>
      </c>
      <c r="T2" s="4" t="str">
        <f>VLOOKUP(Table1[[#This Row],[Nombres de Centros Educativos (MEDUCA)]],BD_Meduca!A8:N61,7,FALSE)</f>
        <v>URBANA</v>
      </c>
      <c r="U2" s="4" t="str">
        <f>VLOOKUP(Table1[[#This Row],[Nombres de Centros Educativos (MEDUCA)]],BD_Meduca!A8:N61,11,FALSE)</f>
        <v>NO</v>
      </c>
      <c r="V2" s="4" t="str">
        <f>VLOOKUP(Table1[[#This Row],[Nombres de Centros Educativos (MEDUCA)]],BD_Meduca!A8:N61,14,FALSE)</f>
        <v>PREMEDIA</v>
      </c>
      <c r="W2" s="1" t="s">
        <v>225</v>
      </c>
    </row>
    <row r="3" spans="1:32" x14ac:dyDescent="0.3">
      <c r="A3" s="1">
        <v>1</v>
      </c>
      <c r="B3" s="1">
        <v>37</v>
      </c>
      <c r="C3" s="1" t="s">
        <v>58</v>
      </c>
      <c r="D3" s="1" t="s">
        <v>11</v>
      </c>
      <c r="E3" s="1" t="s">
        <v>33</v>
      </c>
      <c r="F3" s="1" t="s">
        <v>54</v>
      </c>
      <c r="G3" s="1" t="s">
        <v>59</v>
      </c>
      <c r="H3" s="1">
        <v>9.4246429999999997</v>
      </c>
      <c r="I3" s="1">
        <v>-82.471710999999999</v>
      </c>
      <c r="J3" s="46">
        <v>43088</v>
      </c>
      <c r="K3" s="48">
        <f ca="1">(TODAY()-Table1[[#This Row],[Fecha de Activación]])/365</f>
        <v>7.9863013698630141</v>
      </c>
      <c r="L3" s="3">
        <f>VLOOKUP(Table1[[#This Row],[Nombre               (Punto de Acceso)]],BD_DataTransferida!A22:G75,7,FALSE)</f>
        <v>124</v>
      </c>
      <c r="M3" s="3">
        <f>VLOOKUP(Table1[[#This Row],[Nombre               (Punto de Acceso)]],BD_Sesiones!A21:I75,7,FALSE)</f>
        <v>313</v>
      </c>
      <c r="N3" s="7">
        <f>TRUNC(Table1[[#This Row],[Datos (GB)]]/Table1[[#This Row],[Cantidad de Sesiones]]*1024)</f>
        <v>405</v>
      </c>
      <c r="O3" s="3" t="str">
        <f>VLOOKUP(Table1[[#This Row],[Nombre               (Punto de Acceso)]],BD_Sesiones!A21:I75,8,FALSE)</f>
        <v>C&amp;W Panamá</v>
      </c>
      <c r="P3" s="3" t="str">
        <f>VLOOKUP(Table1[[#This Row],[Nombre               (Punto de Acceso)]],BD_Sesiones!A21:I75,9,FALSE)</f>
        <v>Sí</v>
      </c>
      <c r="Q3" s="25" t="s">
        <v>161</v>
      </c>
      <c r="R3" s="4" t="str">
        <f>VLOOKUP(Table1[[#This Row],[Nombres de Centros Educativos (MEDUCA)]],BD_Meduca!A8:N59,9,FALSE)</f>
        <v>OFICIAL</v>
      </c>
      <c r="S3" s="4" t="str">
        <f>VLOOKUP(Table1[[#This Row],[Nombres de Centros Educativos (MEDUCA)]],BD_Meduca!A8:N59,10,FALSE)</f>
        <v>ACTIVA</v>
      </c>
      <c r="T3" s="4" t="str">
        <f>VLOOKUP(Table1[[#This Row],[Nombres de Centros Educativos (MEDUCA)]],BD_Meduca!A9:N62,7,FALSE)</f>
        <v>INDIGENA</v>
      </c>
      <c r="U3" s="4" t="str">
        <f>VLOOKUP(Table1[[#This Row],[Nombres de Centros Educativos (MEDUCA)]],BD_Meduca!A9:N62,11,FALSE)</f>
        <v>SI</v>
      </c>
      <c r="V3" s="4" t="str">
        <f>VLOOKUP(Table1[[#This Row],[Nombres de Centros Educativos (MEDUCA)]],BD_Meduca!A9:N62,14,FALSE)</f>
        <v>PRIMARIA</v>
      </c>
      <c r="W3" s="1" t="s">
        <v>226</v>
      </c>
    </row>
    <row r="4" spans="1:32" x14ac:dyDescent="0.3">
      <c r="A4" s="1">
        <v>1</v>
      </c>
      <c r="B4" s="1">
        <v>47</v>
      </c>
      <c r="C4" s="1" t="s">
        <v>72</v>
      </c>
      <c r="D4" s="1" t="s">
        <v>11</v>
      </c>
      <c r="E4" s="1" t="s">
        <v>33</v>
      </c>
      <c r="F4" s="1" t="s">
        <v>66</v>
      </c>
      <c r="G4" s="1" t="s">
        <v>47</v>
      </c>
      <c r="H4" s="1">
        <v>9.4817459999999993</v>
      </c>
      <c r="I4" s="1">
        <v>-82.595248999999995</v>
      </c>
      <c r="J4" s="46">
        <v>42914</v>
      </c>
      <c r="K4" s="48">
        <f ca="1">(TODAY()-Table1[[#This Row],[Fecha de Activación]])/365</f>
        <v>8.463013698630137</v>
      </c>
      <c r="L4" s="3">
        <f>VLOOKUP(Table1[[#This Row],[Nombre               (Punto de Acceso)]],BD_DataTransferida!A34:G87,7,FALSE)</f>
        <v>718</v>
      </c>
      <c r="M4" s="3">
        <f>VLOOKUP(Table1[[#This Row],[Nombre               (Punto de Acceso)]],BD_Sesiones!A33:I87,7,FALSE)</f>
        <v>2808</v>
      </c>
      <c r="N4" s="7">
        <f>TRUNC(Table1[[#This Row],[Datos (GB)]]/Table1[[#This Row],[Cantidad de Sesiones]]*1024)</f>
        <v>261</v>
      </c>
      <c r="O4" s="3" t="str">
        <f>VLOOKUP(Table1[[#This Row],[Nombre               (Punto de Acceso)]],BD_Sesiones!A33:I87,8,FALSE)</f>
        <v>C&amp;W Panamá</v>
      </c>
      <c r="P4" s="3" t="str">
        <f>VLOOKUP(Table1[[#This Row],[Nombre               (Punto de Acceso)]],BD_Sesiones!A33:I87,9,FALSE)</f>
        <v>Sí</v>
      </c>
      <c r="Q4" s="25" t="s">
        <v>137</v>
      </c>
      <c r="R4" s="4" t="str">
        <f>VLOOKUP(Table1[[#This Row],[Nombres de Centros Educativos (MEDUCA)]],BD_Meduca!A9:N63,9,FALSE)</f>
        <v>OFICIAL</v>
      </c>
      <c r="S4" s="4" t="str">
        <f>VLOOKUP(Table1[[#This Row],[Nombres de Centros Educativos (MEDUCA)]],BD_Meduca!A9:N63,10,FALSE)</f>
        <v>ACTIVA</v>
      </c>
      <c r="T4" s="4" t="str">
        <f>VLOOKUP(Table1[[#This Row],[Nombres de Centros Educativos (MEDUCA)]],BD_Meduca!A11:N66,7,FALSE)</f>
        <v>INDIGENA</v>
      </c>
      <c r="U4" s="4" t="str">
        <f>VLOOKUP(Table1[[#This Row],[Nombres de Centros Educativos (MEDUCA)]],BD_Meduca!A11:N66,11,FALSE)</f>
        <v>SI</v>
      </c>
      <c r="V4" s="4" t="str">
        <f>VLOOKUP(Table1[[#This Row],[Nombres de Centros Educativos (MEDUCA)]],BD_Meduca!A11:N66,14,FALSE)</f>
        <v>PREESCOLAR-PRIMARIA</v>
      </c>
      <c r="W4" s="1" t="s">
        <v>227</v>
      </c>
    </row>
    <row r="5" spans="1:32" x14ac:dyDescent="0.3">
      <c r="A5" s="1">
        <v>1</v>
      </c>
      <c r="B5" s="1">
        <v>10</v>
      </c>
      <c r="C5" s="1" t="s">
        <v>22</v>
      </c>
      <c r="D5" s="1" t="s">
        <v>11</v>
      </c>
      <c r="E5" s="1" t="s">
        <v>12</v>
      </c>
      <c r="F5" s="1" t="s">
        <v>13</v>
      </c>
      <c r="G5" s="1" t="s">
        <v>14</v>
      </c>
      <c r="H5" s="1">
        <v>9.3055040000000009</v>
      </c>
      <c r="I5" s="1">
        <v>-82.437320999999997</v>
      </c>
      <c r="J5" s="46">
        <v>42926</v>
      </c>
      <c r="K5" s="48">
        <f ca="1">(TODAY()-Table1[[#This Row],[Fecha de Activación]])/365</f>
        <v>8.4301369863013704</v>
      </c>
      <c r="L5" s="3">
        <f>VLOOKUP(Table1[[#This Row],[Nombre               (Punto de Acceso)]],BD_DataTransferida!A32:G85,7,FALSE)</f>
        <v>592</v>
      </c>
      <c r="M5" s="3">
        <f>VLOOKUP(Table1[[#This Row],[Nombre               (Punto de Acceso)]],BD_Sesiones!A31:I85,7,FALSE)</f>
        <v>2364</v>
      </c>
      <c r="N5" s="7">
        <f>TRUNC(Table1[[#This Row],[Datos (GB)]]/Table1[[#This Row],[Cantidad de Sesiones]]*1024)</f>
        <v>256</v>
      </c>
      <c r="O5" s="3" t="str">
        <f>VLOOKUP(Table1[[#This Row],[Nombre               (Punto de Acceso)]],BD_Sesiones!A31:I85,8,FALSE)</f>
        <v>C&amp;W Panamá</v>
      </c>
      <c r="P5" s="3" t="str">
        <f>VLOOKUP(Table1[[#This Row],[Nombre               (Punto de Acceso)]],BD_Sesiones!A31:I85,9,FALSE)</f>
        <v>Sí</v>
      </c>
      <c r="Q5" s="25" t="s">
        <v>130</v>
      </c>
      <c r="R5" s="4" t="str">
        <f>VLOOKUP(Table1[[#This Row],[Nombres de Centros Educativos (MEDUCA)]],BD_Meduca!A8:N61,9,FALSE)</f>
        <v>OFICIAL</v>
      </c>
      <c r="S5" s="4" t="str">
        <f>VLOOKUP(Table1[[#This Row],[Nombres de Centros Educativos (MEDUCA)]],BD_Meduca!A8:N61,10,FALSE)</f>
        <v>ACTIVA</v>
      </c>
      <c r="T5" s="4" t="str">
        <f>VLOOKUP(Table1[[#This Row],[Nombres de Centros Educativos (MEDUCA)]],BD_Meduca!A10:N64,7,FALSE)</f>
        <v>RURAL</v>
      </c>
      <c r="U5" s="4" t="str">
        <f>VLOOKUP(Table1[[#This Row],[Nombres de Centros Educativos (MEDUCA)]],BD_Meduca!A10:N64,11,FALSE)</f>
        <v>NO</v>
      </c>
      <c r="V5" s="4" t="str">
        <f>VLOOKUP(Table1[[#This Row],[Nombres de Centros Educativos (MEDUCA)]],BD_Meduca!A10:N64,14,FALSE)</f>
        <v>PREESCOLAR-PRIMARIA</v>
      </c>
      <c r="W5" s="1" t="s">
        <v>228</v>
      </c>
    </row>
    <row r="6" spans="1:32" x14ac:dyDescent="0.3">
      <c r="A6" s="1">
        <v>1</v>
      </c>
      <c r="B6" s="1">
        <v>11</v>
      </c>
      <c r="C6" s="1" t="s">
        <v>23</v>
      </c>
      <c r="D6" s="1" t="s">
        <v>11</v>
      </c>
      <c r="E6" s="1" t="s">
        <v>12</v>
      </c>
      <c r="F6" s="1" t="s">
        <v>13</v>
      </c>
      <c r="G6" s="1" t="s">
        <v>14</v>
      </c>
      <c r="H6" s="1">
        <v>9.2839460000000003</v>
      </c>
      <c r="I6" s="1">
        <v>-82.410793999999996</v>
      </c>
      <c r="J6" s="46">
        <v>42915</v>
      </c>
      <c r="K6" s="48">
        <f ca="1">(TODAY()-Table1[[#This Row],[Fecha de Activación]])/365</f>
        <v>8.4602739726027405</v>
      </c>
      <c r="L6" s="3">
        <f>VLOOKUP(Table1[[#This Row],[Nombre               (Punto de Acceso)]],BD_DataTransferida!A33:G86,7,FALSE)</f>
        <v>165</v>
      </c>
      <c r="M6" s="3">
        <f>VLOOKUP(Table1[[#This Row],[Nombre               (Punto de Acceso)]],BD_Sesiones!A32:I86,7,FALSE)</f>
        <v>753</v>
      </c>
      <c r="N6" s="7">
        <f>TRUNC(Table1[[#This Row],[Datos (GB)]]/Table1[[#This Row],[Cantidad de Sesiones]]*1024)</f>
        <v>224</v>
      </c>
      <c r="O6" s="3" t="str">
        <f>VLOOKUP(Table1[[#This Row],[Nombre               (Punto de Acceso)]],BD_Sesiones!A32:I86,8,FALSE)</f>
        <v>C&amp;W Panamá</v>
      </c>
      <c r="P6" s="3" t="str">
        <f>VLOOKUP(Table1[[#This Row],[Nombre               (Punto de Acceso)]],BD_Sesiones!A32:I86,9,FALSE)</f>
        <v>Sí</v>
      </c>
      <c r="Q6" s="25" t="s">
        <v>179</v>
      </c>
      <c r="R6" s="4" t="str">
        <f>VLOOKUP(Table1[[#This Row],[Nombres de Centros Educativos (MEDUCA)]],BD_Meduca!A9:N62,9,FALSE)</f>
        <v>OFICIAL</v>
      </c>
      <c r="S6" s="4" t="str">
        <f>VLOOKUP(Table1[[#This Row],[Nombres de Centros Educativos (MEDUCA)]],BD_Meduca!A9:N62,10,FALSE)</f>
        <v>ACTIVA</v>
      </c>
      <c r="T6" s="4" t="str">
        <f>VLOOKUP(Table1[[#This Row],[Nombres de Centros Educativos (MEDUCA)]],BD_Meduca!A11:N65,7,FALSE)</f>
        <v>RURAL</v>
      </c>
      <c r="U6" s="4" t="str">
        <f>VLOOKUP(Table1[[#This Row],[Nombres de Centros Educativos (MEDUCA)]],BD_Meduca!A11:N65,11,FALSE)</f>
        <v>NO</v>
      </c>
      <c r="V6" s="4" t="str">
        <f>VLOOKUP(Table1[[#This Row],[Nombres de Centros Educativos (MEDUCA)]],BD_Meduca!A11:N65,14,FALSE)</f>
        <v>PREESCOLAR-PRIMARIA-PREMEDIA</v>
      </c>
      <c r="W6" s="1" t="s">
        <v>229</v>
      </c>
    </row>
    <row r="7" spans="1:32" ht="28.8" x14ac:dyDescent="0.3">
      <c r="A7" s="1">
        <v>1</v>
      </c>
      <c r="B7" s="1">
        <v>34</v>
      </c>
      <c r="C7" s="1" t="s">
        <v>55</v>
      </c>
      <c r="D7" s="1" t="s">
        <v>11</v>
      </c>
      <c r="E7" s="1" t="s">
        <v>33</v>
      </c>
      <c r="F7" s="1" t="s">
        <v>54</v>
      </c>
      <c r="G7" s="1" t="s">
        <v>14</v>
      </c>
      <c r="H7" s="1">
        <v>9.4208449999999999</v>
      </c>
      <c r="I7" s="1">
        <v>-82.520880000000005</v>
      </c>
      <c r="J7" s="46">
        <v>42913</v>
      </c>
      <c r="K7" s="48">
        <f ca="1">(TODAY()-Table1[[#This Row],[Fecha de Activación]])/365</f>
        <v>8.4657534246575334</v>
      </c>
      <c r="L7" s="3">
        <f>VLOOKUP(Table1[[#This Row],[Nombre               (Punto de Acceso)]],BD_DataTransferida!A15:G68,7,FALSE)</f>
        <v>158</v>
      </c>
      <c r="M7" s="3">
        <f>VLOOKUP(Table1[[#This Row],[Nombre               (Punto de Acceso)]],BD_Sesiones!A14:I68,7,FALSE)</f>
        <v>788</v>
      </c>
      <c r="N7" s="7">
        <f>TRUNC(Table1[[#This Row],[Datos (GB)]]/Table1[[#This Row],[Cantidad de Sesiones]]*1024)</f>
        <v>205</v>
      </c>
      <c r="O7" s="3" t="str">
        <f>VLOOKUP(Table1[[#This Row],[Nombre               (Punto de Acceso)]],BD_Sesiones!A14:I68,8,FALSE)</f>
        <v>C&amp;W Panamá</v>
      </c>
      <c r="P7" s="3" t="str">
        <f>VLOOKUP(Table1[[#This Row],[Nombre               (Punto de Acceso)]],BD_Sesiones!A14:I68,9,FALSE)</f>
        <v>Sí</v>
      </c>
      <c r="Q7" s="25"/>
      <c r="R7" s="4"/>
      <c r="S7" s="4"/>
      <c r="T7" s="4"/>
      <c r="U7" s="4"/>
      <c r="V7" s="4"/>
      <c r="W7" s="1" t="s">
        <v>230</v>
      </c>
    </row>
    <row r="8" spans="1:32" x14ac:dyDescent="0.3">
      <c r="A8" s="1">
        <v>1</v>
      </c>
      <c r="B8" s="1">
        <v>1380</v>
      </c>
      <c r="C8" s="1" t="s">
        <v>76</v>
      </c>
      <c r="D8" s="1" t="s">
        <v>11</v>
      </c>
      <c r="E8" s="1" t="s">
        <v>33</v>
      </c>
      <c r="F8" s="1" t="s">
        <v>77</v>
      </c>
      <c r="G8" s="1" t="s">
        <v>14</v>
      </c>
      <c r="H8" s="1">
        <v>9.5431609999999996</v>
      </c>
      <c r="I8" s="1">
        <v>-82.739405000000005</v>
      </c>
      <c r="J8" s="46">
        <v>43088</v>
      </c>
      <c r="K8" s="48">
        <f ca="1">(TODAY()-Table1[[#This Row],[Fecha de Activación]])/365</f>
        <v>7.9863013698630141</v>
      </c>
      <c r="L8" s="3">
        <f>VLOOKUP(Table1[[#This Row],[Nombre               (Punto de Acceso)]],BD_DataTransferida!A11:G64,7,FALSE)</f>
        <v>727</v>
      </c>
      <c r="M8" s="3">
        <f>VLOOKUP(Table1[[#This Row],[Nombre               (Punto de Acceso)]],BD_Sesiones!A10:I64,7,FALSE)</f>
        <v>3780</v>
      </c>
      <c r="N8" s="7">
        <f>TRUNC(Table1[[#This Row],[Datos (GB)]]/Table1[[#This Row],[Cantidad de Sesiones]]*1024)</f>
        <v>196</v>
      </c>
      <c r="O8" s="3" t="str">
        <f>VLOOKUP(Table1[[#This Row],[Nombre               (Punto de Acceso)]],BD_Sesiones!A10:I64,8,FALSE)</f>
        <v>C&amp;W Panamá</v>
      </c>
      <c r="P8" s="3" t="str">
        <f>VLOOKUP(Table1[[#This Row],[Nombre               (Punto de Acceso)]],BD_Sesiones!A10:I64,9,FALSE)</f>
        <v>Sí</v>
      </c>
      <c r="Q8" s="25" t="s">
        <v>132</v>
      </c>
      <c r="R8" s="4" t="s">
        <v>105</v>
      </c>
      <c r="S8" s="4" t="s">
        <v>104</v>
      </c>
      <c r="T8" s="4" t="s">
        <v>107</v>
      </c>
      <c r="U8" s="4" t="s">
        <v>103</v>
      </c>
      <c r="V8" s="4" t="s">
        <v>118</v>
      </c>
      <c r="W8" s="1" t="s">
        <v>231</v>
      </c>
    </row>
    <row r="9" spans="1:32" ht="23.4" x14ac:dyDescent="0.3">
      <c r="A9" s="1">
        <v>1</v>
      </c>
      <c r="B9" s="1">
        <v>52</v>
      </c>
      <c r="C9" s="1" t="s">
        <v>83</v>
      </c>
      <c r="D9" s="1" t="s">
        <v>11</v>
      </c>
      <c r="E9" s="1" t="s">
        <v>82</v>
      </c>
      <c r="F9" s="1" t="s">
        <v>82</v>
      </c>
      <c r="G9" s="1" t="s">
        <v>14</v>
      </c>
      <c r="H9" s="1">
        <v>8.9180240000000008</v>
      </c>
      <c r="I9" s="1">
        <v>-82.184955000000002</v>
      </c>
      <c r="J9" s="46">
        <v>42950</v>
      </c>
      <c r="K9" s="48">
        <f ca="1">(TODAY()-Table1[[#This Row],[Fecha de Activación]])/365</f>
        <v>8.3643835616438356</v>
      </c>
      <c r="L9" s="3">
        <f>VLOOKUP(Table1[[#This Row],[Nombre               (Punto de Acceso)]],BD_DataTransferida!A40:G93,7,FALSE)</f>
        <v>312</v>
      </c>
      <c r="M9" s="3">
        <f>VLOOKUP(Table1[[#This Row],[Nombre               (Punto de Acceso)]],BD_Sesiones!A39:I93,7,FALSE)</f>
        <v>1627</v>
      </c>
      <c r="N9" s="7">
        <f>TRUNC(Table1[[#This Row],[Datos (GB)]]/Table1[[#This Row],[Cantidad de Sesiones]]*1024)</f>
        <v>196</v>
      </c>
      <c r="O9" s="3" t="str">
        <f>VLOOKUP(Table1[[#This Row],[Nombre               (Punto de Acceso)]],BD_Sesiones!A39:I93,8,FALSE)</f>
        <v>C&amp;W Panamá</v>
      </c>
      <c r="P9" s="3" t="str">
        <f>VLOOKUP(Table1[[#This Row],[Nombre               (Punto de Acceso)]],BD_Sesiones!A39:I93,9,FALSE)</f>
        <v>Sí</v>
      </c>
      <c r="Q9" s="25" t="s">
        <v>164</v>
      </c>
      <c r="R9" s="4" t="str">
        <f>VLOOKUP(Table1[[#This Row],[Nombres de Centros Educativos (MEDUCA)]],BD_Meduca!A11:N69,9,FALSE)</f>
        <v>OFICIAL</v>
      </c>
      <c r="S9" s="4" t="str">
        <f>VLOOKUP(Table1[[#This Row],[Nombres de Centros Educativos (MEDUCA)]],BD_Meduca!A11:N69,10,FALSE)</f>
        <v>ACTIVA</v>
      </c>
      <c r="T9" s="4" t="str">
        <f>VLOOKUP(Table1[[#This Row],[Nombres de Centros Educativos (MEDUCA)]],BD_Meduca!A11:N72,7,FALSE)</f>
        <v>INDIGENA</v>
      </c>
      <c r="U9" s="4" t="str">
        <f>VLOOKUP(Table1[[#This Row],[Nombres de Centros Educativos (MEDUCA)]],BD_Meduca!A11:N72,11,FALSE)</f>
        <v>SI</v>
      </c>
      <c r="V9" s="4" t="str">
        <f>VLOOKUP(Table1[[#This Row],[Nombres de Centros Educativos (MEDUCA)]],BD_Meduca!A11:N72,14,FALSE)</f>
        <v>PREESCOLAR-PRIMARIA-PREMEDIA</v>
      </c>
      <c r="W9" s="1" t="s">
        <v>232</v>
      </c>
      <c r="Y9" s="42" t="s">
        <v>207</v>
      </c>
      <c r="AE9" s="42" t="s">
        <v>214</v>
      </c>
    </row>
    <row r="10" spans="1:32" ht="15.6" x14ac:dyDescent="0.3">
      <c r="A10" s="1">
        <v>1</v>
      </c>
      <c r="B10" s="1">
        <v>46</v>
      </c>
      <c r="C10" s="1" t="s">
        <v>70</v>
      </c>
      <c r="D10" s="1" t="s">
        <v>11</v>
      </c>
      <c r="E10" s="1" t="s">
        <v>33</v>
      </c>
      <c r="F10" s="1" t="s">
        <v>66</v>
      </c>
      <c r="G10" s="1" t="s">
        <v>14</v>
      </c>
      <c r="H10" s="1">
        <v>9.5148010000000003</v>
      </c>
      <c r="I10" s="1">
        <v>-82.594971000000001</v>
      </c>
      <c r="J10" s="46">
        <v>42950</v>
      </c>
      <c r="K10" s="48">
        <f ca="1">(TODAY()-Table1[[#This Row],[Fecha de Activación]])/365</f>
        <v>8.3643835616438356</v>
      </c>
      <c r="L10" s="3">
        <f>VLOOKUP(Table1[[#This Row],[Nombre               (Punto de Acceso)]],BD_DataTransferida!A31:G84,7,FALSE)</f>
        <v>672</v>
      </c>
      <c r="M10" s="3">
        <f>VLOOKUP(Table1[[#This Row],[Nombre               (Punto de Acceso)]],BD_Sesiones!A30:I84,7,FALSE)</f>
        <v>3726</v>
      </c>
      <c r="N10" s="7">
        <f>TRUNC(Table1[[#This Row],[Datos (GB)]]/Table1[[#This Row],[Cantidad de Sesiones]]*1024)</f>
        <v>184</v>
      </c>
      <c r="O10" s="3" t="str">
        <f>VLOOKUP(Table1[[#This Row],[Nombre               (Punto de Acceso)]],BD_Sesiones!A30:I84,8,FALSE)</f>
        <v>C&amp;W Panamá</v>
      </c>
      <c r="P10" s="3" t="str">
        <f>VLOOKUP(Table1[[#This Row],[Nombre               (Punto de Acceso)]],BD_Sesiones!A30:I84,9,FALSE)</f>
        <v>Sí</v>
      </c>
      <c r="Q10" s="25"/>
      <c r="R10" s="4"/>
      <c r="S10" s="4"/>
      <c r="T10" s="4"/>
      <c r="U10" s="4"/>
      <c r="V10" s="4"/>
      <c r="W10" s="1" t="s">
        <v>233</v>
      </c>
      <c r="Y10" s="43" t="s">
        <v>211</v>
      </c>
      <c r="Z10" s="44" t="s">
        <v>209</v>
      </c>
      <c r="AA10" s="44" t="s">
        <v>208</v>
      </c>
      <c r="AB10" s="53" t="s">
        <v>210</v>
      </c>
      <c r="AC10" s="44" t="s">
        <v>223</v>
      </c>
      <c r="AE10" s="39" t="s">
        <v>213</v>
      </c>
      <c r="AF10" s="2" t="s">
        <v>208</v>
      </c>
    </row>
    <row r="11" spans="1:32" ht="28.8" x14ac:dyDescent="0.3">
      <c r="A11" s="1">
        <v>1</v>
      </c>
      <c r="B11" s="1">
        <v>8</v>
      </c>
      <c r="C11" s="1" t="s">
        <v>18</v>
      </c>
      <c r="D11" s="1" t="s">
        <v>11</v>
      </c>
      <c r="E11" s="1" t="s">
        <v>12</v>
      </c>
      <c r="F11" s="1" t="s">
        <v>13</v>
      </c>
      <c r="G11" s="1" t="s">
        <v>14</v>
      </c>
      <c r="H11" s="1">
        <v>8.2426759999999994</v>
      </c>
      <c r="I11" s="1">
        <v>-81.670066000000006</v>
      </c>
      <c r="J11" s="46">
        <v>42916</v>
      </c>
      <c r="K11" s="48">
        <f ca="1">(TODAY()-Table1[[#This Row],[Fecha de Activación]])/365</f>
        <v>8.4575342465753423</v>
      </c>
      <c r="L11" s="3">
        <f>VLOOKUP(Table1[[#This Row],[Nombre               (Punto de Acceso)]],BD_DataTransferida!A17:G70,7,FALSE)</f>
        <v>159</v>
      </c>
      <c r="M11" s="3">
        <f>VLOOKUP(Table1[[#This Row],[Nombre               (Punto de Acceso)]],BD_Sesiones!A16:I70,7,FALSE)</f>
        <v>994</v>
      </c>
      <c r="N11" s="7">
        <f>TRUNC(Table1[[#This Row],[Datos (GB)]]/Table1[[#This Row],[Cantidad de Sesiones]]*1024)</f>
        <v>163</v>
      </c>
      <c r="O11" s="3" t="str">
        <f>VLOOKUP(Table1[[#This Row],[Nombre               (Punto de Acceso)]],BD_Sesiones!A16:I70,8,FALSE)</f>
        <v>C&amp;W Panamá</v>
      </c>
      <c r="P11" s="3" t="str">
        <f>VLOOKUP(Table1[[#This Row],[Nombre               (Punto de Acceso)]],BD_Sesiones!A16:I70,9,FALSE)</f>
        <v>Sí</v>
      </c>
      <c r="Q11" s="25" t="s">
        <v>180</v>
      </c>
      <c r="R11" s="4" t="str">
        <f>VLOOKUP(Table1[[#This Row],[Nombres de Centros Educativos (MEDUCA)]],BD_Meduca!A8:N46,9,FALSE)</f>
        <v>OFICIAL</v>
      </c>
      <c r="S11" s="4" t="str">
        <f>VLOOKUP(Table1[[#This Row],[Nombres de Centros Educativos (MEDUCA)]],BD_Meduca!A8:N46,10,FALSE)</f>
        <v>ACTIVA</v>
      </c>
      <c r="T11" s="4" t="str">
        <f>VLOOKUP(Table1[[#This Row],[Nombres de Centros Educativos (MEDUCA)]],BD_Meduca!A8:N49,7,FALSE)</f>
        <v>URBANA</v>
      </c>
      <c r="U11" s="4" t="str">
        <f>VLOOKUP(Table1[[#This Row],[Nombres de Centros Educativos (MEDUCA)]],BD_Meduca!A8:N49,11,FALSE)</f>
        <v>NO</v>
      </c>
      <c r="V11" s="4" t="str">
        <f>VLOOKUP(Table1[[#This Row],[Nombres de Centros Educativos (MEDUCA)]],BD_Meduca!A8:N49,14,FALSE)</f>
        <v>PREMEDIA</v>
      </c>
      <c r="W11" s="1" t="s">
        <v>234</v>
      </c>
      <c r="Y11" s="40" t="s">
        <v>12</v>
      </c>
      <c r="Z11" s="2">
        <v>6</v>
      </c>
      <c r="AA11" s="45">
        <v>1228</v>
      </c>
      <c r="AB11" s="45">
        <v>8474</v>
      </c>
      <c r="AC11" s="2">
        <v>148</v>
      </c>
      <c r="AE11" s="40" t="s">
        <v>33</v>
      </c>
      <c r="AF11" s="52">
        <v>8418</v>
      </c>
    </row>
    <row r="12" spans="1:32" x14ac:dyDescent="0.3">
      <c r="A12" s="1">
        <v>1</v>
      </c>
      <c r="B12" s="1">
        <v>56</v>
      </c>
      <c r="C12" s="1" t="s">
        <v>87</v>
      </c>
      <c r="D12" s="1" t="s">
        <v>11</v>
      </c>
      <c r="E12" s="1" t="s">
        <v>82</v>
      </c>
      <c r="F12" s="1" t="s">
        <v>86</v>
      </c>
      <c r="G12" s="1" t="s">
        <v>14</v>
      </c>
      <c r="H12" s="1">
        <v>8.8079059999999991</v>
      </c>
      <c r="I12" s="1">
        <v>-82.184109000000007</v>
      </c>
      <c r="J12" s="46">
        <v>42916</v>
      </c>
      <c r="K12" s="48">
        <f ca="1">(TODAY()-Table1[[#This Row],[Fecha de Activación]])/365</f>
        <v>8.4575342465753423</v>
      </c>
      <c r="L12" s="3">
        <f>VLOOKUP(Table1[[#This Row],[Nombre               (Punto de Acceso)]],BD_DataTransferida!A19:G72,7,FALSE)</f>
        <v>443</v>
      </c>
      <c r="M12" s="3">
        <f>VLOOKUP(Table1[[#This Row],[Nombre               (Punto de Acceso)]],BD_Sesiones!A18:I72,7,FALSE)</f>
        <v>2980</v>
      </c>
      <c r="N12" s="7">
        <f>TRUNC(Table1[[#This Row],[Datos (GB)]]/Table1[[#This Row],[Cantidad de Sesiones]]*1024)</f>
        <v>152</v>
      </c>
      <c r="O12" s="3" t="str">
        <f>VLOOKUP(Table1[[#This Row],[Nombre               (Punto de Acceso)]],BD_Sesiones!A18:I72,8,FALSE)</f>
        <v>C&amp;W Panamá</v>
      </c>
      <c r="P12" s="3" t="str">
        <f>VLOOKUP(Table1[[#This Row],[Nombre               (Punto de Acceso)]],BD_Sesiones!A18:I72,9,FALSE)</f>
        <v>Sí</v>
      </c>
      <c r="Q12" s="25" t="s">
        <v>125</v>
      </c>
      <c r="R12" s="4" t="str">
        <f>VLOOKUP(Table1[[#This Row],[Nombres de Centros Educativos (MEDUCA)]],BD_Meduca!A8:N48,9,FALSE)</f>
        <v>OFICIAL</v>
      </c>
      <c r="S12" s="4" t="str">
        <f>VLOOKUP(Table1[[#This Row],[Nombres de Centros Educativos (MEDUCA)]],BD_Meduca!A8:N48,10,FALSE)</f>
        <v>ACTIVA</v>
      </c>
      <c r="T12" s="4" t="str">
        <f>VLOOKUP(Table1[[#This Row],[Nombres de Centros Educativos (MEDUCA)]],BD_Meduca!A8:N51,7,FALSE)</f>
        <v>RURAL</v>
      </c>
      <c r="U12" s="4" t="str">
        <f>VLOOKUP(Table1[[#This Row],[Nombres de Centros Educativos (MEDUCA)]],BD_Meduca!A8:N51,11,FALSE)</f>
        <v>NO</v>
      </c>
      <c r="V12" s="4" t="str">
        <f>VLOOKUP(Table1[[#This Row],[Nombres de Centros Educativos (MEDUCA)]],BD_Meduca!A8:N51,14,FALSE)</f>
        <v>PREMEDIA-MEDIA ACADÉMICA-MEDIA PROFESIONAL Y TÉCNICA</v>
      </c>
      <c r="W12" s="1" t="s">
        <v>235</v>
      </c>
      <c r="Y12" s="41" t="s">
        <v>185</v>
      </c>
      <c r="Z12" s="2">
        <v>1</v>
      </c>
      <c r="AA12" s="45">
        <v>120</v>
      </c>
      <c r="AB12" s="45">
        <v>1993</v>
      </c>
      <c r="AC12" s="2">
        <v>61</v>
      </c>
      <c r="AE12" s="40" t="s">
        <v>82</v>
      </c>
      <c r="AF12" s="52">
        <v>2126</v>
      </c>
    </row>
    <row r="13" spans="1:32" x14ac:dyDescent="0.3">
      <c r="A13" s="1">
        <v>1</v>
      </c>
      <c r="B13" s="1">
        <v>55</v>
      </c>
      <c r="C13" s="1" t="s">
        <v>85</v>
      </c>
      <c r="D13" s="1" t="s">
        <v>11</v>
      </c>
      <c r="E13" s="1" t="s">
        <v>82</v>
      </c>
      <c r="F13" s="1" t="s">
        <v>86</v>
      </c>
      <c r="G13" s="1" t="s">
        <v>14</v>
      </c>
      <c r="H13" s="1">
        <v>8.9135159999999996</v>
      </c>
      <c r="I13" s="1">
        <v>-82.186711000000003</v>
      </c>
      <c r="J13" s="46">
        <v>42914</v>
      </c>
      <c r="K13" s="48">
        <f ca="1">(TODAY()-Table1[[#This Row],[Fecha de Activación]])/365</f>
        <v>8.463013698630137</v>
      </c>
      <c r="L13" s="3">
        <f>VLOOKUP(Table1[[#This Row],[Nombre               (Punto de Acceso)]],BD_DataTransferida!A10:G63,7,FALSE)</f>
        <v>407</v>
      </c>
      <c r="M13" s="3">
        <f>VLOOKUP(Table1[[#This Row],[Nombre               (Punto de Acceso)]],BD_Sesiones!A9:I63,7,FALSE)</f>
        <v>2928</v>
      </c>
      <c r="N13" s="7">
        <f>TRUNC(Table1[[#This Row],[Datos (GB)]]/Table1[[#This Row],[Cantidad de Sesiones]]*1024)</f>
        <v>142</v>
      </c>
      <c r="O13" s="3" t="str">
        <f>VLOOKUP(Table1[[#This Row],[Nombre               (Punto de Acceso)]],BD_Sesiones!A9:I63,8,FALSE)</f>
        <v>C&amp;W Panamá</v>
      </c>
      <c r="P13" s="3" t="str">
        <f>VLOOKUP(Table1[[#This Row],[Nombre               (Punto de Acceso)]],BD_Sesiones!A9:I63,9,FALSE)</f>
        <v>Sí</v>
      </c>
      <c r="Q13" s="25" t="s">
        <v>85</v>
      </c>
      <c r="R13" s="4" t="str">
        <f>VLOOKUP(Table1[[#This Row],[Nombres de Centros Educativos (MEDUCA)]],BD_Meduca!A7:N39,9,FALSE)</f>
        <v>OFICIAL</v>
      </c>
      <c r="S13" s="4" t="str">
        <f>VLOOKUP(Table1[[#This Row],[Nombres de Centros Educativos (MEDUCA)]],BD_Meduca!A7:N39,10,FALSE)</f>
        <v>ACTIVA</v>
      </c>
      <c r="T13" s="4" t="str">
        <f>VLOOKUP(Table1[[#This Row],[Nombres de Centros Educativos (MEDUCA)]],BD_Meduca!A7:N42,7,FALSE)</f>
        <v>INDIGENA</v>
      </c>
      <c r="U13" s="4" t="str">
        <f>VLOOKUP(Table1[[#This Row],[Nombres de Centros Educativos (MEDUCA)]],BD_Meduca!A7:N42,11,FALSE)</f>
        <v>SI</v>
      </c>
      <c r="V13" s="4" t="str">
        <f>VLOOKUP(Table1[[#This Row],[Nombres de Centros Educativos (MEDUCA)]],BD_Meduca!A7:N42,14,FALSE)</f>
        <v>PREESCOLAR-PRIMARIA-PREMEDIA-MEDIA PROFESIONAL Y TÉCNICA</v>
      </c>
      <c r="W13" s="1" t="s">
        <v>236</v>
      </c>
      <c r="Y13" s="41" t="s">
        <v>186</v>
      </c>
      <c r="Z13" s="2">
        <v>1</v>
      </c>
      <c r="AA13" s="45">
        <v>53</v>
      </c>
      <c r="AB13" s="45">
        <v>1259</v>
      </c>
      <c r="AC13" s="2">
        <v>43</v>
      </c>
      <c r="AE13" s="40" t="s">
        <v>12</v>
      </c>
      <c r="AF13" s="52">
        <v>1228</v>
      </c>
    </row>
    <row r="14" spans="1:32" x14ac:dyDescent="0.3">
      <c r="A14" s="1">
        <v>1</v>
      </c>
      <c r="B14" s="1">
        <v>1582</v>
      </c>
      <c r="C14" s="1" t="s">
        <v>78</v>
      </c>
      <c r="D14" s="1" t="s">
        <v>11</v>
      </c>
      <c r="E14" s="1" t="s">
        <v>33</v>
      </c>
      <c r="F14" s="1" t="s">
        <v>33</v>
      </c>
      <c r="G14" s="1" t="s">
        <v>47</v>
      </c>
      <c r="H14" s="1">
        <v>9.4505599999999994</v>
      </c>
      <c r="I14" s="1">
        <v>-82.520939999999996</v>
      </c>
      <c r="J14" s="46">
        <v>43621</v>
      </c>
      <c r="K14" s="48">
        <f ca="1">(TODAY()-Table1[[#This Row],[Fecha de Activación]])/365</f>
        <v>6.5260273972602736</v>
      </c>
      <c r="L14" s="3">
        <f>VLOOKUP(Table1[[#This Row],[Nombre               (Punto de Acceso)]],BD_DataTransferida!A43:G96,7,FALSE)</f>
        <v>143</v>
      </c>
      <c r="M14" s="3">
        <f>VLOOKUP(Table1[[#This Row],[Nombre               (Punto de Acceso)]],BD_Sesiones!A42:I96,7,FALSE)</f>
        <v>1032</v>
      </c>
      <c r="N14" s="7">
        <f>TRUNC(Table1[[#This Row],[Datos (GB)]]/Table1[[#This Row],[Cantidad de Sesiones]]*1024)</f>
        <v>141</v>
      </c>
      <c r="O14" s="3" t="str">
        <f>VLOOKUP(Table1[[#This Row],[Nombre               (Punto de Acceso)]],BD_Sesiones!A42:I96,8,FALSE)</f>
        <v>C&amp;W Panamá</v>
      </c>
      <c r="P14" s="3" t="str">
        <f>VLOOKUP(Table1[[#This Row],[Nombre               (Punto de Acceso)]],BD_Sesiones!A42:I96,9,FALSE)</f>
        <v>Sí</v>
      </c>
      <c r="Q14" s="21"/>
      <c r="R14" s="4"/>
      <c r="S14" s="4"/>
      <c r="T14" s="4"/>
      <c r="U14" s="4"/>
      <c r="V14" s="4"/>
      <c r="W14" s="1" t="s">
        <v>237</v>
      </c>
      <c r="Y14" s="41" t="s">
        <v>180</v>
      </c>
      <c r="Z14" s="2">
        <v>1</v>
      </c>
      <c r="AA14" s="45">
        <v>159</v>
      </c>
      <c r="AB14" s="45">
        <v>994</v>
      </c>
      <c r="AC14" s="2">
        <v>163</v>
      </c>
      <c r="AE14" s="40" t="s">
        <v>11</v>
      </c>
      <c r="AF14" s="52">
        <v>382</v>
      </c>
    </row>
    <row r="15" spans="1:32" ht="28.8" x14ac:dyDescent="0.3">
      <c r="A15" s="1">
        <v>1</v>
      </c>
      <c r="B15" s="1">
        <v>44</v>
      </c>
      <c r="C15" s="1" t="s">
        <v>68</v>
      </c>
      <c r="D15" s="1" t="s">
        <v>11</v>
      </c>
      <c r="E15" s="1" t="s">
        <v>33</v>
      </c>
      <c r="F15" s="1" t="s">
        <v>66</v>
      </c>
      <c r="G15" s="1" t="s">
        <v>14</v>
      </c>
      <c r="H15" s="1">
        <v>9.491225</v>
      </c>
      <c r="I15" s="1">
        <v>-82.624135999999993</v>
      </c>
      <c r="J15" s="46">
        <v>42927</v>
      </c>
      <c r="K15" s="48">
        <f ca="1">(TODAY()-Table1[[#This Row],[Fecha de Activación]])/365</f>
        <v>8.4273972602739722</v>
      </c>
      <c r="L15" s="3">
        <f>VLOOKUP(Table1[[#This Row],[Nombre               (Punto de Acceso)]],BD_DataTransferida!A24:G77,7,FALSE)</f>
        <v>133</v>
      </c>
      <c r="M15" s="3">
        <f>VLOOKUP(Table1[[#This Row],[Nombre               (Punto de Acceso)]],BD_Sesiones!A23:I77,7,FALSE)</f>
        <v>996</v>
      </c>
      <c r="N15" s="7">
        <f>TRUNC(Table1[[#This Row],[Datos (GB)]]/Table1[[#This Row],[Cantidad de Sesiones]]*1024)</f>
        <v>136</v>
      </c>
      <c r="O15" s="3" t="str">
        <f>VLOOKUP(Table1[[#This Row],[Nombre               (Punto de Acceso)]],BD_Sesiones!A23:I77,8,FALSE)</f>
        <v>C&amp;W Panamá</v>
      </c>
      <c r="P15" s="3" t="str">
        <f>VLOOKUP(Table1[[#This Row],[Nombre               (Punto de Acceso)]],BD_Sesiones!A23:I77,9,FALSE)</f>
        <v>Sí</v>
      </c>
      <c r="Q15" s="25" t="s">
        <v>138</v>
      </c>
      <c r="R15" s="4" t="str">
        <f>VLOOKUP(Table1[[#This Row],[Nombres de Centros Educativos (MEDUCA)]],BD_Meduca!A8:N53,9,FALSE)</f>
        <v>OFICIAL</v>
      </c>
      <c r="S15" s="4" t="str">
        <f>VLOOKUP(Table1[[#This Row],[Nombres de Centros Educativos (MEDUCA)]],BD_Meduca!A8:N53,10,FALSE)</f>
        <v>ACTIVA</v>
      </c>
      <c r="T15" s="4" t="str">
        <f>VLOOKUP(Table1[[#This Row],[Nombres de Centros Educativos (MEDUCA)]],BD_Meduca!A8:N56,7,FALSE)</f>
        <v>INDIGENA</v>
      </c>
      <c r="U15" s="4" t="str">
        <f>VLOOKUP(Table1[[#This Row],[Nombres de Centros Educativos (MEDUCA)]],BD_Meduca!A8:N56,11,FALSE)</f>
        <v>SI</v>
      </c>
      <c r="V15" s="4" t="str">
        <f>VLOOKUP(Table1[[#This Row],[Nombres de Centros Educativos (MEDUCA)]],BD_Meduca!A8:N56,14,FALSE)</f>
        <v>PREESCOLAR-PRIMARIA</v>
      </c>
      <c r="W15" s="1" t="s">
        <v>238</v>
      </c>
      <c r="Y15" s="41" t="s">
        <v>184</v>
      </c>
      <c r="Z15" s="2">
        <v>1</v>
      </c>
      <c r="AA15" s="45">
        <v>139</v>
      </c>
      <c r="AB15" s="45">
        <v>1111</v>
      </c>
      <c r="AC15" s="2">
        <v>128</v>
      </c>
      <c r="AE15" s="40" t="s">
        <v>206</v>
      </c>
      <c r="AF15" s="52">
        <v>12154</v>
      </c>
    </row>
    <row r="16" spans="1:32" ht="28.8" x14ac:dyDescent="0.3">
      <c r="A16" s="1">
        <v>1</v>
      </c>
      <c r="B16" s="1">
        <v>48</v>
      </c>
      <c r="C16" s="1" t="s">
        <v>73</v>
      </c>
      <c r="D16" s="1" t="s">
        <v>11</v>
      </c>
      <c r="E16" s="1" t="s">
        <v>33</v>
      </c>
      <c r="F16" s="1" t="s">
        <v>66</v>
      </c>
      <c r="G16" s="1" t="s">
        <v>14</v>
      </c>
      <c r="H16" s="1">
        <v>9.4649570000000001</v>
      </c>
      <c r="I16" s="1">
        <v>-82.549522999999994</v>
      </c>
      <c r="J16" s="46">
        <v>42914</v>
      </c>
      <c r="K16" s="48">
        <f ca="1">(TODAY()-Table1[[#This Row],[Fecha de Activación]])/365</f>
        <v>8.463013698630137</v>
      </c>
      <c r="L16" s="3">
        <f>VLOOKUP(Table1[[#This Row],[Nombre               (Punto de Acceso)]],BD_DataTransferida!A36:G89,7,FALSE)</f>
        <v>325</v>
      </c>
      <c r="M16" s="3">
        <f>VLOOKUP(Table1[[#This Row],[Nombre               (Punto de Acceso)]],BD_Sesiones!A35:I89,7,FALSE)</f>
        <v>2487</v>
      </c>
      <c r="N16" s="7">
        <f>TRUNC(Table1[[#This Row],[Datos (GB)]]/Table1[[#This Row],[Cantidad de Sesiones]]*1024)</f>
        <v>133</v>
      </c>
      <c r="O16" s="3" t="str">
        <f>VLOOKUP(Table1[[#This Row],[Nombre               (Punto de Acceso)]],BD_Sesiones!A35:I89,8,FALSE)</f>
        <v>C&amp;W Panamá</v>
      </c>
      <c r="P16" s="3" t="str">
        <f>VLOOKUP(Table1[[#This Row],[Nombre               (Punto de Acceso)]],BD_Sesiones!A35:I89,9,FALSE)</f>
        <v>Sí</v>
      </c>
      <c r="Q16" s="25" t="s">
        <v>147</v>
      </c>
      <c r="R16" s="4" t="str">
        <f>VLOOKUP(Table1[[#This Row],[Nombres de Centros Educativos (MEDUCA)]],BD_Meduca!A11:N65,9,FALSE)</f>
        <v>OFICIAL</v>
      </c>
      <c r="S16" s="4" t="str">
        <f>VLOOKUP(Table1[[#This Row],[Nombres de Centros Educativos (MEDUCA)]],BD_Meduca!A11:N65,10,FALSE)</f>
        <v>ACTIVA</v>
      </c>
      <c r="T16" s="4" t="str">
        <f>VLOOKUP(Table1[[#This Row],[Nombres de Centros Educativos (MEDUCA)]],BD_Meduca!A11:N68,7,FALSE)</f>
        <v>RURAL</v>
      </c>
      <c r="U16" s="4" t="str">
        <f>VLOOKUP(Table1[[#This Row],[Nombres de Centros Educativos (MEDUCA)]],BD_Meduca!A11:N68,11,FALSE)</f>
        <v>NO</v>
      </c>
      <c r="V16" s="4" t="str">
        <f>VLOOKUP(Table1[[#This Row],[Nombres de Centros Educativos (MEDUCA)]],BD_Meduca!A11:N68,14,FALSE)</f>
        <v>PRIMARIA</v>
      </c>
      <c r="W16" s="1" t="s">
        <v>239</v>
      </c>
      <c r="Y16" s="41" t="s">
        <v>130</v>
      </c>
      <c r="Z16" s="2">
        <v>1</v>
      </c>
      <c r="AA16" s="45">
        <v>592</v>
      </c>
      <c r="AB16" s="45">
        <v>2364</v>
      </c>
      <c r="AC16" s="2">
        <v>256</v>
      </c>
    </row>
    <row r="17" spans="1:32" ht="28.8" x14ac:dyDescent="0.3">
      <c r="A17" s="1">
        <v>1</v>
      </c>
      <c r="B17" s="1">
        <v>51</v>
      </c>
      <c r="C17" s="1" t="s">
        <v>81</v>
      </c>
      <c r="D17" s="1" t="s">
        <v>11</v>
      </c>
      <c r="E17" s="1" t="s">
        <v>82</v>
      </c>
      <c r="F17" s="1" t="s">
        <v>82</v>
      </c>
      <c r="G17" s="1" t="s">
        <v>14</v>
      </c>
      <c r="H17" s="1">
        <v>8.9455220000000004</v>
      </c>
      <c r="I17" s="1">
        <v>-82.115149000000002</v>
      </c>
      <c r="J17" s="46">
        <v>42950</v>
      </c>
      <c r="K17" s="48">
        <f ca="1">(TODAY()-Table1[[#This Row],[Fecha de Activación]])/365</f>
        <v>8.3643835616438356</v>
      </c>
      <c r="L17" s="3">
        <f>VLOOKUP(Table1[[#This Row],[Nombre               (Punto de Acceso)]],BD_DataTransferida!A5:G58,7,FALSE)</f>
        <v>139</v>
      </c>
      <c r="M17" s="3">
        <f>VLOOKUP(Table1[[#This Row],[Nombre               (Punto de Acceso)]],BD_Sesiones!A4:I58,7,FALSE)</f>
        <v>1098</v>
      </c>
      <c r="N17" s="7">
        <f>TRUNC(Table1[[#This Row],[Datos (GB)]]/Table1[[#This Row],[Cantidad de Sesiones]]*1024)</f>
        <v>129</v>
      </c>
      <c r="O17" s="3" t="str">
        <f>VLOOKUP(Table1[[#This Row],[Nombre               (Punto de Acceso)]],BD_Sesiones!A4:I58,8,FALSE)</f>
        <v>C&amp;W Panamá</v>
      </c>
      <c r="P17" s="3" t="str">
        <f>VLOOKUP(Table1[[#This Row],[Nombre               (Punto de Acceso)]],BD_Sesiones!A4:I58,9,FALSE)</f>
        <v>Sí</v>
      </c>
      <c r="Q17" s="25" t="s">
        <v>166</v>
      </c>
      <c r="R17" s="4" t="str">
        <f>VLOOKUP(Table1[[#This Row],[Nombres de Centros Educativos (MEDUCA)]],BD_Meduca!A3:N34,9,FALSE)</f>
        <v>OFICIAL</v>
      </c>
      <c r="S17" s="4" t="str">
        <f>VLOOKUP(Table1[[#This Row],[Nombres de Centros Educativos (MEDUCA)]],BD_Meduca!A3:N34,10,FALSE)</f>
        <v>ACTIVA</v>
      </c>
      <c r="T17" s="4" t="str">
        <f>VLOOKUP(Table1[[#This Row],[Nombres de Centros Educativos (MEDUCA)]],BD_Meduca!A5:N37,7,FALSE)</f>
        <v>RURAL</v>
      </c>
      <c r="U17" s="4" t="str">
        <f>VLOOKUP(Table1[[#This Row],[Nombres de Centros Educativos (MEDUCA)]],BD_Meduca!A5:N37,11,FALSE)</f>
        <v>NO</v>
      </c>
      <c r="V17" s="4" t="str">
        <f>VLOOKUP(Table1[[#This Row],[Nombres de Centros Educativos (MEDUCA)]],BD_Meduca!A5:N37,14,FALSE)</f>
        <v> PREMEDIA-MEDIA ACADÉMICA</v>
      </c>
      <c r="W17" s="1" t="s">
        <v>240</v>
      </c>
      <c r="Y17" s="41" t="s">
        <v>179</v>
      </c>
      <c r="Z17" s="2">
        <v>1</v>
      </c>
      <c r="AA17" s="45">
        <v>165</v>
      </c>
      <c r="AB17" s="45">
        <v>753</v>
      </c>
      <c r="AC17" s="2">
        <v>224</v>
      </c>
      <c r="AE17" s="39" t="s">
        <v>213</v>
      </c>
      <c r="AF17" s="2" t="s">
        <v>215</v>
      </c>
    </row>
    <row r="18" spans="1:32" x14ac:dyDescent="0.3">
      <c r="A18" s="1">
        <v>1</v>
      </c>
      <c r="B18" s="1">
        <v>9</v>
      </c>
      <c r="C18" s="1" t="s">
        <v>20</v>
      </c>
      <c r="D18" s="1" t="s">
        <v>11</v>
      </c>
      <c r="E18" s="1" t="s">
        <v>12</v>
      </c>
      <c r="F18" s="1" t="s">
        <v>13</v>
      </c>
      <c r="G18" s="1" t="s">
        <v>14</v>
      </c>
      <c r="H18" s="1">
        <v>9.2950900000000001</v>
      </c>
      <c r="I18" s="1">
        <v>-82.404894999999996</v>
      </c>
      <c r="J18" s="46">
        <v>42915</v>
      </c>
      <c r="K18" s="48">
        <f ca="1">(TODAY()-Table1[[#This Row],[Fecha de Activación]])/365</f>
        <v>8.4602739726027405</v>
      </c>
      <c r="L18" s="3">
        <f>VLOOKUP(Table1[[#This Row],[Nombre               (Punto de Acceso)]],BD_DataTransferida!A18:G71,7,FALSE)</f>
        <v>139</v>
      </c>
      <c r="M18" s="3">
        <f>VLOOKUP(Table1[[#This Row],[Nombre               (Punto de Acceso)]],BD_Sesiones!A17:I71,7,FALSE)</f>
        <v>1111</v>
      </c>
      <c r="N18" s="7">
        <f>TRUNC(Table1[[#This Row],[Datos (GB)]]/Table1[[#This Row],[Cantidad de Sesiones]]*1024)</f>
        <v>128</v>
      </c>
      <c r="O18" s="3" t="str">
        <f>VLOOKUP(Table1[[#This Row],[Nombre               (Punto de Acceso)]],BD_Sesiones!A17:I71,8,FALSE)</f>
        <v>C&amp;W Panamá</v>
      </c>
      <c r="P18" s="3" t="str">
        <f>VLOOKUP(Table1[[#This Row],[Nombre               (Punto de Acceso)]],BD_Sesiones!A17:I71,9,FALSE)</f>
        <v>Sí</v>
      </c>
      <c r="Q18" s="25" t="s">
        <v>184</v>
      </c>
      <c r="R18" s="4" t="str">
        <f>VLOOKUP(Table1[[#This Row],[Nombres de Centros Educativos (MEDUCA)]],BD_Meduca!A8:N47,9,FALSE)</f>
        <v>PARTICULAR</v>
      </c>
      <c r="S18" s="4" t="str">
        <f>VLOOKUP(Table1[[#This Row],[Nombres de Centros Educativos (MEDUCA)]],BD_Meduca!A8:N47,10,FALSE)</f>
        <v>ACTIVA</v>
      </c>
      <c r="T18" s="4" t="str">
        <f>VLOOKUP(Table1[[#This Row],[Nombres de Centros Educativos (MEDUCA)]],BD_Meduca!A8:N50,7,FALSE)</f>
        <v>URBANA</v>
      </c>
      <c r="U18" s="4" t="str">
        <f>VLOOKUP(Table1[[#This Row],[Nombres de Centros Educativos (MEDUCA)]],BD_Meduca!A8:N50,11,FALSE)</f>
        <v>NO</v>
      </c>
      <c r="V18" s="4" t="str">
        <f>VLOOKUP(Table1[[#This Row],[Nombres de Centros Educativos (MEDUCA)]],BD_Meduca!A8:N50,14,FALSE)</f>
        <v>PREMEDIA- MEDIA</v>
      </c>
      <c r="W18" s="1" t="s">
        <v>241</v>
      </c>
      <c r="Y18" s="40" t="s">
        <v>11</v>
      </c>
      <c r="Z18" s="2">
        <v>6</v>
      </c>
      <c r="AA18" s="45">
        <v>382</v>
      </c>
      <c r="AB18" s="45">
        <v>5733</v>
      </c>
      <c r="AC18" s="2">
        <v>68</v>
      </c>
      <c r="AE18" s="40" t="s">
        <v>33</v>
      </c>
      <c r="AF18" s="52">
        <v>92859</v>
      </c>
    </row>
    <row r="19" spans="1:32" ht="28.8" x14ac:dyDescent="0.3">
      <c r="A19" s="1">
        <v>1</v>
      </c>
      <c r="B19" s="1">
        <v>36</v>
      </c>
      <c r="C19" s="1" t="s">
        <v>57</v>
      </c>
      <c r="D19" s="1" t="s">
        <v>11</v>
      </c>
      <c r="E19" s="1" t="s">
        <v>33</v>
      </c>
      <c r="F19" s="1" t="s">
        <v>54</v>
      </c>
      <c r="G19" s="1" t="s">
        <v>14</v>
      </c>
      <c r="H19" s="1">
        <v>9.3885550000000002</v>
      </c>
      <c r="I19" s="1">
        <v>-82.531266000000002</v>
      </c>
      <c r="J19" s="46">
        <v>42913</v>
      </c>
      <c r="K19" s="48">
        <f ca="1">(TODAY()-Table1[[#This Row],[Fecha de Activación]])/365</f>
        <v>8.4657534246575334</v>
      </c>
      <c r="L19" s="3">
        <f>VLOOKUP(Table1[[#This Row],[Nombre               (Punto de Acceso)]],BD_DataTransferida!A21:G74,7,FALSE)</f>
        <v>210</v>
      </c>
      <c r="M19" s="3">
        <f>VLOOKUP(Table1[[#This Row],[Nombre               (Punto de Acceso)]],BD_Sesiones!A20:I74,7,FALSE)</f>
        <v>1775</v>
      </c>
      <c r="N19" s="7">
        <f>TRUNC(Table1[[#This Row],[Datos (GB)]]/Table1[[#This Row],[Cantidad de Sesiones]]*1024)</f>
        <v>121</v>
      </c>
      <c r="O19" s="3" t="str">
        <f>VLOOKUP(Table1[[#This Row],[Nombre               (Punto de Acceso)]],BD_Sesiones!A20:I74,8,FALSE)</f>
        <v>C&amp;W Panamá</v>
      </c>
      <c r="P19" s="3" t="str">
        <f>VLOOKUP(Table1[[#This Row],[Nombre               (Punto de Acceso)]],BD_Sesiones!A20:I74,9,FALSE)</f>
        <v>Sí</v>
      </c>
      <c r="Q19" s="25" t="s">
        <v>160</v>
      </c>
      <c r="R19" s="4" t="str">
        <f>VLOOKUP(Table1[[#This Row],[Nombres de Centros Educativos (MEDUCA)]],BD_Meduca!A8:N50,9,FALSE)</f>
        <v>OFICIAL</v>
      </c>
      <c r="S19" s="4" t="str">
        <f>VLOOKUP(Table1[[#This Row],[Nombres de Centros Educativos (MEDUCA)]],BD_Meduca!A8:N50,10,FALSE)</f>
        <v>ACTIVA</v>
      </c>
      <c r="T19" s="4" t="str">
        <f>VLOOKUP(Table1[[#This Row],[Nombres de Centros Educativos (MEDUCA)]],BD_Meduca!A8:N53,7,FALSE)</f>
        <v>INDIGENA</v>
      </c>
      <c r="U19" s="4" t="str">
        <f>VLOOKUP(Table1[[#This Row],[Nombres de Centros Educativos (MEDUCA)]],BD_Meduca!A8:N53,11,FALSE)</f>
        <v>SI</v>
      </c>
      <c r="V19" s="4" t="str">
        <f>VLOOKUP(Table1[[#This Row],[Nombres de Centros Educativos (MEDUCA)]],BD_Meduca!A8:N53,14,FALSE)</f>
        <v>PREESCOLAR-PRIMARIA</v>
      </c>
      <c r="W19" s="1" t="s">
        <v>242</v>
      </c>
      <c r="Y19" s="41" t="s">
        <v>175</v>
      </c>
      <c r="Z19" s="2">
        <v>1</v>
      </c>
      <c r="AA19" s="45">
        <v>39</v>
      </c>
      <c r="AB19" s="45">
        <v>453</v>
      </c>
      <c r="AC19" s="2">
        <v>88</v>
      </c>
      <c r="AE19" s="40" t="s">
        <v>82</v>
      </c>
      <c r="AF19" s="52">
        <v>19448</v>
      </c>
    </row>
    <row r="20" spans="1:32" ht="28.8" x14ac:dyDescent="0.3">
      <c r="A20" s="1">
        <v>1</v>
      </c>
      <c r="B20" s="1">
        <v>43</v>
      </c>
      <c r="C20" s="1" t="s">
        <v>67</v>
      </c>
      <c r="D20" s="1" t="s">
        <v>11</v>
      </c>
      <c r="E20" s="1" t="s">
        <v>33</v>
      </c>
      <c r="F20" s="1" t="s">
        <v>66</v>
      </c>
      <c r="G20" s="1" t="s">
        <v>14</v>
      </c>
      <c r="H20" s="1">
        <v>9.4885590000000004</v>
      </c>
      <c r="I20" s="1">
        <v>-82.607680000000002</v>
      </c>
      <c r="J20" s="46">
        <v>42927</v>
      </c>
      <c r="K20" s="48">
        <f ca="1">(TODAY()-Table1[[#This Row],[Fecha de Activación]])/365</f>
        <v>8.4273972602739722</v>
      </c>
      <c r="L20" s="3">
        <f>VLOOKUP(Table1[[#This Row],[Nombre               (Punto de Acceso)]],BD_DataTransferida!A14:G67,7,FALSE)</f>
        <v>276</v>
      </c>
      <c r="M20" s="3">
        <f>VLOOKUP(Table1[[#This Row],[Nombre               (Punto de Acceso)]],BD_Sesiones!A13:I67,7,FALSE)</f>
        <v>2403</v>
      </c>
      <c r="N20" s="7">
        <f>TRUNC(Table1[[#This Row],[Datos (GB)]]/Table1[[#This Row],[Cantidad de Sesiones]]*1024)</f>
        <v>117</v>
      </c>
      <c r="O20" s="3" t="str">
        <f>VLOOKUP(Table1[[#This Row],[Nombre               (Punto de Acceso)]],BD_Sesiones!A13:I67,8,FALSE)</f>
        <v>C&amp;W Panamá</v>
      </c>
      <c r="P20" s="3" t="str">
        <f>VLOOKUP(Table1[[#This Row],[Nombre               (Punto de Acceso)]],BD_Sesiones!A13:I67,9,FALSE)</f>
        <v>Sí</v>
      </c>
      <c r="Q20" s="25" t="s">
        <v>139</v>
      </c>
      <c r="R20" s="4" t="str">
        <f>VLOOKUP(Table1[[#This Row],[Nombres de Centros Educativos (MEDUCA)]],BD_Meduca!A7:N43,9,FALSE)</f>
        <v>OFICIAL</v>
      </c>
      <c r="S20" s="4" t="str">
        <f>VLOOKUP(Table1[[#This Row],[Nombres de Centros Educativos (MEDUCA)]],BD_Meduca!A7:N43,10,FALSE)</f>
        <v>ACTIVA</v>
      </c>
      <c r="T20" s="4" t="str">
        <f>VLOOKUP(Table1[[#This Row],[Nombres de Centros Educativos (MEDUCA)]],BD_Meduca!A8:N46,7,FALSE)</f>
        <v>RURAL</v>
      </c>
      <c r="U20" s="4" t="str">
        <f>VLOOKUP(Table1[[#This Row],[Nombres de Centros Educativos (MEDUCA)]],BD_Meduca!A8:N46,11,FALSE)</f>
        <v>NO</v>
      </c>
      <c r="V20" s="4" t="str">
        <f>VLOOKUP(Table1[[#This Row],[Nombres de Centros Educativos (MEDUCA)]],BD_Meduca!A8:N46,14,FALSE)</f>
        <v>PRIMARIA</v>
      </c>
      <c r="W20" s="1" t="s">
        <v>243</v>
      </c>
      <c r="Y20" s="41" t="s">
        <v>174</v>
      </c>
      <c r="Z20" s="2">
        <v>1</v>
      </c>
      <c r="AA20" s="45">
        <v>24</v>
      </c>
      <c r="AB20" s="45">
        <v>1097</v>
      </c>
      <c r="AC20" s="2">
        <v>22</v>
      </c>
      <c r="AE20" s="40" t="s">
        <v>12</v>
      </c>
      <c r="AF20" s="52">
        <v>8474</v>
      </c>
    </row>
    <row r="21" spans="1:32" ht="57.6" x14ac:dyDescent="0.3">
      <c r="A21" s="1">
        <v>1</v>
      </c>
      <c r="B21" s="1">
        <v>45</v>
      </c>
      <c r="C21" s="1" t="s">
        <v>69</v>
      </c>
      <c r="D21" s="1" t="s">
        <v>11</v>
      </c>
      <c r="E21" s="1" t="s">
        <v>33</v>
      </c>
      <c r="F21" s="1" t="s">
        <v>66</v>
      </c>
      <c r="G21" s="1" t="s">
        <v>14</v>
      </c>
      <c r="H21" s="1">
        <v>9.4953570000000003</v>
      </c>
      <c r="I21" s="1">
        <v>-82.586636999999996</v>
      </c>
      <c r="J21" s="46">
        <v>42927</v>
      </c>
      <c r="K21" s="48">
        <f ca="1">(TODAY()-Table1[[#This Row],[Fecha de Activación]])/365</f>
        <v>8.4273972602739722</v>
      </c>
      <c r="L21" s="3">
        <f>VLOOKUP(Table1[[#This Row],[Nombre               (Punto de Acceso)]],BD_DataTransferida!A27:G80,7,FALSE)</f>
        <v>202</v>
      </c>
      <c r="M21" s="3">
        <f>VLOOKUP(Table1[[#This Row],[Nombre               (Punto de Acceso)]],BD_Sesiones!A26:I80,7,FALSE)</f>
        <v>1776</v>
      </c>
      <c r="N21" s="7">
        <f>TRUNC(Table1[[#This Row],[Datos (GB)]]/Table1[[#This Row],[Cantidad de Sesiones]]*1024)</f>
        <v>116</v>
      </c>
      <c r="O21" s="3" t="str">
        <f>VLOOKUP(Table1[[#This Row],[Nombre               (Punto de Acceso)]],BD_Sesiones!A26:I80,8,FALSE)</f>
        <v>C&amp;W Panamá</v>
      </c>
      <c r="P21" s="3" t="str">
        <f>VLOOKUP(Table1[[#This Row],[Nombre               (Punto de Acceso)]],BD_Sesiones!A26:I80,9,FALSE)</f>
        <v>Sí</v>
      </c>
      <c r="Q21" s="25" t="s">
        <v>145</v>
      </c>
      <c r="R21" s="4" t="str">
        <f>VLOOKUP(Table1[[#This Row],[Nombres de Centros Educativos (MEDUCA)]],BD_Meduca!A8:N56,9,FALSE)</f>
        <v>OFICIAL</v>
      </c>
      <c r="S21" s="4" t="str">
        <f>VLOOKUP(Table1[[#This Row],[Nombres de Centros Educativos (MEDUCA)]],BD_Meduca!A8:N56,10,FALSE)</f>
        <v>ACTIVA</v>
      </c>
      <c r="T21" s="4" t="str">
        <f>VLOOKUP(Table1[[#This Row],[Nombres de Centros Educativos (MEDUCA)]],BD_Meduca!A8:N59,7,FALSE)</f>
        <v>URBANA</v>
      </c>
      <c r="U21" s="4" t="str">
        <f>VLOOKUP(Table1[[#This Row],[Nombres de Centros Educativos (MEDUCA)]],BD_Meduca!A8:N59,11,FALSE)</f>
        <v>NO</v>
      </c>
      <c r="V21" s="4" t="str">
        <f>VLOOKUP(Table1[[#This Row],[Nombres de Centros Educativos (MEDUCA)]],BD_Meduca!A8:N59,14,FALSE)</f>
        <v>PREESCOLAR-PRIMARIA</v>
      </c>
      <c r="W21" s="1" t="s">
        <v>244</v>
      </c>
      <c r="Y21" s="41" t="s">
        <v>224</v>
      </c>
      <c r="Z21" s="2">
        <v>4</v>
      </c>
      <c r="AA21" s="45">
        <v>319</v>
      </c>
      <c r="AB21" s="45">
        <v>4183</v>
      </c>
      <c r="AC21" s="2">
        <v>78</v>
      </c>
      <c r="AE21" s="40" t="s">
        <v>11</v>
      </c>
      <c r="AF21" s="52">
        <v>5733</v>
      </c>
    </row>
    <row r="22" spans="1:32" x14ac:dyDescent="0.3">
      <c r="A22" s="1">
        <v>1</v>
      </c>
      <c r="B22" s="1">
        <v>32</v>
      </c>
      <c r="C22" s="1" t="s">
        <v>52</v>
      </c>
      <c r="D22" s="1" t="s">
        <v>11</v>
      </c>
      <c r="E22" s="1" t="s">
        <v>33</v>
      </c>
      <c r="F22" s="1" t="s">
        <v>33</v>
      </c>
      <c r="G22" s="1" t="s">
        <v>14</v>
      </c>
      <c r="H22" s="1">
        <v>9.4379480000000004</v>
      </c>
      <c r="I22" s="1">
        <v>-82.497598999999994</v>
      </c>
      <c r="J22" s="46">
        <v>42949</v>
      </c>
      <c r="K22" s="48">
        <f ca="1">(TODAY()-Table1[[#This Row],[Fecha de Activación]])/365</f>
        <v>8.367123287671232</v>
      </c>
      <c r="L22" s="3">
        <f>VLOOKUP(Table1[[#This Row],[Nombre               (Punto de Acceso)]],BD_DataTransferida!A30:G83,7,FALSE)</f>
        <v>380</v>
      </c>
      <c r="M22" s="3">
        <f>VLOOKUP(Table1[[#This Row],[Nombre               (Punto de Acceso)]],BD_Sesiones!A29:I83,7,FALSE)</f>
        <v>3385</v>
      </c>
      <c r="N22" s="7">
        <f>TRUNC(Table1[[#This Row],[Datos (GB)]]/Table1[[#This Row],[Cantidad de Sesiones]]*1024)</f>
        <v>114</v>
      </c>
      <c r="O22" s="3" t="str">
        <f>VLOOKUP(Table1[[#This Row],[Nombre               (Punto de Acceso)]],BD_Sesiones!A29:I83,8,FALSE)</f>
        <v>C&amp;W Panamá</v>
      </c>
      <c r="P22" s="3" t="str">
        <f>VLOOKUP(Table1[[#This Row],[Nombre               (Punto de Acceso)]],BD_Sesiones!A29:I83,9,FALSE)</f>
        <v>Sí</v>
      </c>
      <c r="Q22" s="25" t="s">
        <v>141</v>
      </c>
      <c r="R22" s="4" t="str">
        <f>VLOOKUP(Table1[[#This Row],[Nombres de Centros Educativos (MEDUCA)]],BD_Meduca!A8:N59,9,FALSE)</f>
        <v>OFICIAL</v>
      </c>
      <c r="S22" s="4" t="str">
        <f>VLOOKUP(Table1[[#This Row],[Nombres de Centros Educativos (MEDUCA)]],BD_Meduca!A8:N59,10,FALSE)</f>
        <v>ACTIVA</v>
      </c>
      <c r="T22" s="4" t="str">
        <f>VLOOKUP(Table1[[#This Row],[Nombres de Centros Educativos (MEDUCA)]],BD_Meduca!A9:N62,7,FALSE)</f>
        <v>URBANA</v>
      </c>
      <c r="U22" s="4" t="str">
        <f>VLOOKUP(Table1[[#This Row],[Nombres de Centros Educativos (MEDUCA)]],BD_Meduca!A9:N62,11,FALSE)</f>
        <v>NO</v>
      </c>
      <c r="V22" s="4" t="str">
        <f>VLOOKUP(Table1[[#This Row],[Nombres de Centros Educativos (MEDUCA)]],BD_Meduca!A9:N62,14,FALSE)</f>
        <v>PREMEDIA-MEDIA ACADÉMICA-MEDIA PROFESIONAL Y TÉCNICA</v>
      </c>
      <c r="W22" s="1" t="s">
        <v>245</v>
      </c>
      <c r="Y22" s="40" t="s">
        <v>33</v>
      </c>
      <c r="Z22" s="2">
        <v>35</v>
      </c>
      <c r="AA22" s="45">
        <v>8418</v>
      </c>
      <c r="AB22" s="45">
        <v>92859</v>
      </c>
      <c r="AC22" s="2">
        <v>92</v>
      </c>
      <c r="AE22" s="40" t="s">
        <v>206</v>
      </c>
      <c r="AF22" s="52">
        <v>126514</v>
      </c>
    </row>
    <row r="23" spans="1:32" ht="28.8" x14ac:dyDescent="0.3">
      <c r="A23" s="1">
        <v>1</v>
      </c>
      <c r="B23" s="1">
        <v>1440</v>
      </c>
      <c r="C23" s="1" t="s">
        <v>90</v>
      </c>
      <c r="D23" s="1" t="s">
        <v>11</v>
      </c>
      <c r="E23" s="1" t="s">
        <v>82</v>
      </c>
      <c r="F23" s="1" t="s">
        <v>89</v>
      </c>
      <c r="G23" s="1" t="s">
        <v>14</v>
      </c>
      <c r="H23" s="1">
        <v>8.9301879999999993</v>
      </c>
      <c r="I23" s="1">
        <v>-82.182191000000003</v>
      </c>
      <c r="J23" s="46">
        <v>43361</v>
      </c>
      <c r="K23" s="48">
        <f ca="1">(TODAY()-Table1[[#This Row],[Fecha de Activación]])/365</f>
        <v>7.2383561643835614</v>
      </c>
      <c r="L23" s="3">
        <f>VLOOKUP(Table1[[#This Row],[Nombre               (Punto de Acceso)]],BD_DataTransferida!A38:G91,7,FALSE)</f>
        <v>294</v>
      </c>
      <c r="M23" s="3">
        <f>VLOOKUP(Table1[[#This Row],[Nombre               (Punto de Acceso)]],BD_Sesiones!A37:I91,7,FALSE)</f>
        <v>2754</v>
      </c>
      <c r="N23" s="7">
        <f>TRUNC(Table1[[#This Row],[Datos (GB)]]/Table1[[#This Row],[Cantidad de Sesiones]]*1024)</f>
        <v>109</v>
      </c>
      <c r="O23" s="3" t="str">
        <f>VLOOKUP(Table1[[#This Row],[Nombre               (Punto de Acceso)]],BD_Sesiones!A37:I91,8,FALSE)</f>
        <v>C&amp;W Panamá</v>
      </c>
      <c r="P23" s="3" t="str">
        <f>VLOOKUP(Table1[[#This Row],[Nombre               (Punto de Acceso)]],BD_Sesiones!A37:I91,9,FALSE)</f>
        <v>Sí</v>
      </c>
      <c r="Q23" s="25"/>
      <c r="R23" s="4"/>
      <c r="S23" s="4"/>
      <c r="T23" s="4"/>
      <c r="U23" s="4"/>
      <c r="V23" s="4"/>
      <c r="W23" s="1" t="s">
        <v>246</v>
      </c>
      <c r="Y23" s="41" t="s">
        <v>132</v>
      </c>
      <c r="Z23" s="2">
        <v>1</v>
      </c>
      <c r="AA23" s="45">
        <v>727</v>
      </c>
      <c r="AB23" s="45">
        <v>3780</v>
      </c>
      <c r="AC23" s="2">
        <v>196</v>
      </c>
    </row>
    <row r="24" spans="1:32" ht="28.8" x14ac:dyDescent="0.3">
      <c r="A24" s="1">
        <v>1</v>
      </c>
      <c r="B24" s="1">
        <v>22</v>
      </c>
      <c r="C24" s="1" t="s">
        <v>41</v>
      </c>
      <c r="D24" s="1" t="s">
        <v>11</v>
      </c>
      <c r="E24" s="1" t="s">
        <v>33</v>
      </c>
      <c r="F24" s="1" t="s">
        <v>33</v>
      </c>
      <c r="G24" s="1" t="s">
        <v>14</v>
      </c>
      <c r="H24" s="1">
        <v>9.4560519999999997</v>
      </c>
      <c r="I24" s="1">
        <v>-82.514567</v>
      </c>
      <c r="J24" s="46">
        <v>42927</v>
      </c>
      <c r="K24" s="48">
        <f ca="1">(TODAY()-Table1[[#This Row],[Fecha de Activación]])/365</f>
        <v>8.4273972602739722</v>
      </c>
      <c r="L24" s="3">
        <f>VLOOKUP(Table1[[#This Row],[Nombre               (Punto de Acceso)]],BD_DataTransferida!A46:G99,7,FALSE)</f>
        <v>155</v>
      </c>
      <c r="M24" s="3">
        <f>VLOOKUP(Table1[[#This Row],[Nombre               (Punto de Acceso)]],BD_Sesiones!A45:I99,7,FALSE)</f>
        <v>1581</v>
      </c>
      <c r="N24" s="7">
        <f>TRUNC(Table1[[#This Row],[Datos (GB)]]/Table1[[#This Row],[Cantidad de Sesiones]]*1024)</f>
        <v>100</v>
      </c>
      <c r="O24" s="3" t="str">
        <f>VLOOKUP(Table1[[#This Row],[Nombre               (Punto de Acceso)]],BD_Sesiones!A45:I99,8,FALSE)</f>
        <v>C&amp;W Panamá</v>
      </c>
      <c r="P24" s="3" t="str">
        <f>VLOOKUP(Table1[[#This Row],[Nombre               (Punto de Acceso)]],BD_Sesiones!A45:I99,9,FALSE)</f>
        <v>Sí</v>
      </c>
      <c r="Q24" s="21"/>
      <c r="R24" s="4"/>
      <c r="S24" s="4"/>
      <c r="T24" s="4"/>
      <c r="U24" s="4"/>
      <c r="V24" s="4"/>
      <c r="W24" s="1" t="s">
        <v>247</v>
      </c>
      <c r="Y24" s="41" t="s">
        <v>162</v>
      </c>
      <c r="Z24" s="2">
        <v>1</v>
      </c>
      <c r="AA24" s="45">
        <v>128</v>
      </c>
      <c r="AB24" s="45">
        <v>2444</v>
      </c>
      <c r="AC24" s="2">
        <v>53</v>
      </c>
    </row>
    <row r="25" spans="1:32" ht="28.8" x14ac:dyDescent="0.3">
      <c r="A25" s="1">
        <v>1</v>
      </c>
      <c r="B25" s="1">
        <v>49</v>
      </c>
      <c r="C25" s="1" t="s">
        <v>74</v>
      </c>
      <c r="D25" s="1" t="s">
        <v>11</v>
      </c>
      <c r="E25" s="1" t="s">
        <v>33</v>
      </c>
      <c r="F25" s="1" t="s">
        <v>66</v>
      </c>
      <c r="G25" s="1" t="s">
        <v>14</v>
      </c>
      <c r="H25" s="1">
        <v>9.4963200000000008</v>
      </c>
      <c r="I25" s="1">
        <v>-82.610202999999998</v>
      </c>
      <c r="J25" s="46">
        <v>42914</v>
      </c>
      <c r="K25" s="48">
        <f ca="1">(TODAY()-Table1[[#This Row],[Fecha de Activación]])/365</f>
        <v>8.463013698630137</v>
      </c>
      <c r="L25" s="3">
        <f>VLOOKUP(Table1[[#This Row],[Nombre               (Punto de Acceso)]],BD_DataTransferida!A51:G104,7,FALSE)</f>
        <v>335</v>
      </c>
      <c r="M25" s="3">
        <f>VLOOKUP(Table1[[#This Row],[Nombre               (Punto de Acceso)]],BD_Sesiones!A50:I104,7,FALSE)</f>
        <v>3484</v>
      </c>
      <c r="N25" s="7">
        <f>TRUNC(Table1[[#This Row],[Datos (GB)]]/Table1[[#This Row],[Cantidad de Sesiones]]*1024)</f>
        <v>98</v>
      </c>
      <c r="O25" s="3" t="str">
        <f>VLOOKUP(Table1[[#This Row],[Nombre               (Punto de Acceso)]],BD_Sesiones!A50:I104,8,FALSE)</f>
        <v>C&amp;W Panamá</v>
      </c>
      <c r="P25" s="3" t="str">
        <f>VLOOKUP(Table1[[#This Row],[Nombre               (Punto de Acceso)]],BD_Sesiones!A50:I104,9,FALSE)</f>
        <v>Sí</v>
      </c>
      <c r="Q25" s="21"/>
      <c r="R25" s="4"/>
      <c r="S25" s="4"/>
      <c r="T25" s="4"/>
      <c r="U25" s="4"/>
      <c r="V25" s="4"/>
      <c r="W25" s="1" t="s">
        <v>248</v>
      </c>
      <c r="Y25" s="41" t="s">
        <v>146</v>
      </c>
      <c r="Z25" s="2">
        <v>1</v>
      </c>
      <c r="AA25" s="45">
        <v>137</v>
      </c>
      <c r="AB25" s="45">
        <v>2157</v>
      </c>
      <c r="AC25" s="2">
        <v>65</v>
      </c>
    </row>
    <row r="26" spans="1:32" x14ac:dyDescent="0.3">
      <c r="A26" s="1">
        <v>1</v>
      </c>
      <c r="B26" s="1">
        <v>41</v>
      </c>
      <c r="C26" s="1" t="s">
        <v>64</v>
      </c>
      <c r="D26" s="1" t="s">
        <v>11</v>
      </c>
      <c r="E26" s="1" t="s">
        <v>33</v>
      </c>
      <c r="F26" s="1" t="s">
        <v>54</v>
      </c>
      <c r="G26" s="1" t="s">
        <v>14</v>
      </c>
      <c r="H26" s="1">
        <v>9.4219749999999998</v>
      </c>
      <c r="I26" s="1">
        <v>-82.523320999999996</v>
      </c>
      <c r="J26" s="46">
        <v>42913</v>
      </c>
      <c r="K26" s="48">
        <f ca="1">(TODAY()-Table1[[#This Row],[Fecha de Activación]])/365</f>
        <v>8.4657534246575334</v>
      </c>
      <c r="L26" s="3">
        <f>VLOOKUP(Table1[[#This Row],[Nombre               (Punto de Acceso)]],BD_DataTransferida!A55:G108,7,FALSE)</f>
        <v>144</v>
      </c>
      <c r="M26" s="3">
        <f>VLOOKUP(Table1[[#This Row],[Nombre               (Punto de Acceso)]],BD_Sesiones!A54:I108,7,FALSE)</f>
        <v>1503</v>
      </c>
      <c r="N26" s="7">
        <f>TRUNC(Table1[[#This Row],[Datos (GB)]]/Table1[[#This Row],[Cantidad de Sesiones]]*1024)</f>
        <v>98</v>
      </c>
      <c r="O26" s="3" t="str">
        <f>VLOOKUP(Table1[[#This Row],[Nombre               (Punto de Acceso)]],BD_Sesiones!A54:I108,8,FALSE)</f>
        <v>C&amp;W Panamá</v>
      </c>
      <c r="P26" s="3" t="str">
        <f>VLOOKUP(Table1[[#This Row],[Nombre               (Punto de Acceso)]],BD_Sesiones!A54:I108,9,FALSE)</f>
        <v>Sí</v>
      </c>
      <c r="Q26" s="21"/>
      <c r="R26" s="4"/>
      <c r="S26" s="4"/>
      <c r="T26" s="4"/>
      <c r="U26" s="4"/>
      <c r="V26" s="4"/>
      <c r="W26" s="1" t="s">
        <v>249</v>
      </c>
      <c r="Y26" s="41" t="s">
        <v>144</v>
      </c>
      <c r="Z26" s="2">
        <v>1</v>
      </c>
      <c r="AA26" s="45">
        <v>279</v>
      </c>
      <c r="AB26" s="45">
        <v>4745</v>
      </c>
      <c r="AC26" s="2">
        <v>60</v>
      </c>
      <c r="AE26" s="39" t="s">
        <v>213</v>
      </c>
      <c r="AF26" s="2" t="s">
        <v>216</v>
      </c>
    </row>
    <row r="27" spans="1:32" x14ac:dyDescent="0.3">
      <c r="A27" s="1">
        <v>1</v>
      </c>
      <c r="B27" s="1">
        <v>42</v>
      </c>
      <c r="C27" s="1" t="s">
        <v>65</v>
      </c>
      <c r="D27" s="1" t="s">
        <v>11</v>
      </c>
      <c r="E27" s="1" t="s">
        <v>33</v>
      </c>
      <c r="F27" s="1" t="s">
        <v>66</v>
      </c>
      <c r="G27" s="1" t="s">
        <v>14</v>
      </c>
      <c r="H27" s="1">
        <v>9.4920229999999997</v>
      </c>
      <c r="I27" s="1">
        <v>-82.611637999999999</v>
      </c>
      <c r="J27" s="46">
        <v>42927</v>
      </c>
      <c r="K27" s="48">
        <f ca="1">(TODAY()-Table1[[#This Row],[Fecha de Activación]])/365</f>
        <v>8.4273972602739722</v>
      </c>
      <c r="L27" s="3">
        <f>VLOOKUP(Table1[[#This Row],[Nombre               (Punto de Acceso)]],BD_DataTransferida!A9:G62,7,FALSE)</f>
        <v>354</v>
      </c>
      <c r="M27" s="3">
        <f>VLOOKUP(Table1[[#This Row],[Nombre               (Punto de Acceso)]],BD_Sesiones!A8:I62,7,FALSE)</f>
        <v>3998</v>
      </c>
      <c r="N27" s="7">
        <f>TRUNC(Table1[[#This Row],[Datos (GB)]]/Table1[[#This Row],[Cantidad de Sesiones]]*1024)</f>
        <v>90</v>
      </c>
      <c r="O27" s="3" t="str">
        <f>VLOOKUP(Table1[[#This Row],[Nombre               (Punto de Acceso)]],BD_Sesiones!A8:I62,8,FALSE)</f>
        <v>C&amp;W Panamá</v>
      </c>
      <c r="P27" s="3" t="str">
        <f>VLOOKUP(Table1[[#This Row],[Nombre               (Punto de Acceso)]],BD_Sesiones!A8:I62,9,FALSE)</f>
        <v>Sí</v>
      </c>
      <c r="Q27" s="25" t="s">
        <v>140</v>
      </c>
      <c r="R27" s="4" t="str">
        <f>VLOOKUP(Table1[[#This Row],[Nombres de Centros Educativos (MEDUCA)]],BD_Meduca!A6:N38,9,FALSE)</f>
        <v>OFICIAL</v>
      </c>
      <c r="S27" s="4" t="str">
        <f>VLOOKUP(Table1[[#This Row],[Nombres de Centros Educativos (MEDUCA)]],BD_Meduca!A6:N38,10,FALSE)</f>
        <v>ACTIVA</v>
      </c>
      <c r="T27" s="4" t="s">
        <v>107</v>
      </c>
      <c r="U27" s="4" t="s">
        <v>103</v>
      </c>
      <c r="V27" s="4" t="s">
        <v>118</v>
      </c>
      <c r="W27" s="1" t="s">
        <v>250</v>
      </c>
      <c r="Y27" s="41" t="s">
        <v>140</v>
      </c>
      <c r="Z27" s="2">
        <v>1</v>
      </c>
      <c r="AA27" s="45">
        <v>354</v>
      </c>
      <c r="AB27" s="45">
        <v>3998</v>
      </c>
      <c r="AC27" s="2">
        <v>90</v>
      </c>
      <c r="AE27" s="40" t="s">
        <v>12</v>
      </c>
      <c r="AF27" s="51">
        <v>148</v>
      </c>
    </row>
    <row r="28" spans="1:32" ht="28.8" x14ac:dyDescent="0.3">
      <c r="A28" s="1">
        <v>1</v>
      </c>
      <c r="B28" s="1">
        <v>1</v>
      </c>
      <c r="C28" s="1" t="s">
        <v>24</v>
      </c>
      <c r="D28" s="1" t="s">
        <v>11</v>
      </c>
      <c r="E28" s="1" t="s">
        <v>11</v>
      </c>
      <c r="F28" s="1" t="s">
        <v>11</v>
      </c>
      <c r="G28" s="1" t="s">
        <v>14</v>
      </c>
      <c r="H28" s="1">
        <v>9.3406540000000007</v>
      </c>
      <c r="I28" s="1">
        <v>-82.242498999999995</v>
      </c>
      <c r="J28" s="46">
        <v>42928</v>
      </c>
      <c r="K28" s="48">
        <f ca="1">(TODAY()-Table1[[#This Row],[Fecha de Activación]])/365</f>
        <v>8.4246575342465757</v>
      </c>
      <c r="L28" s="3">
        <f>VLOOKUP(Table1[[#This Row],[Nombre               (Punto de Acceso)]],BD_DataTransferida!A13:G66,7,FALSE)</f>
        <v>39</v>
      </c>
      <c r="M28" s="3">
        <f>VLOOKUP(Table1[[#This Row],[Nombre               (Punto de Acceso)]],BD_Sesiones!A12:I66,7,FALSE)</f>
        <v>453</v>
      </c>
      <c r="N28" s="7">
        <f>TRUNC(Table1[[#This Row],[Datos (GB)]]/Table1[[#This Row],[Cantidad de Sesiones]]*1024)</f>
        <v>88</v>
      </c>
      <c r="O28" s="3" t="str">
        <f>VLOOKUP(Table1[[#This Row],[Nombre               (Punto de Acceso)]],BD_Sesiones!A12:I66,8,FALSE)</f>
        <v>C&amp;W Panamá</v>
      </c>
      <c r="P28" s="3" t="str">
        <f>VLOOKUP(Table1[[#This Row],[Nombre               (Punto de Acceso)]],BD_Sesiones!A12:I66,9,FALSE)</f>
        <v>Sí</v>
      </c>
      <c r="Q28" s="25" t="s">
        <v>175</v>
      </c>
      <c r="R28" s="4" t="str">
        <f>VLOOKUP(Table1[[#This Row],[Nombres de Centros Educativos (MEDUCA)]],BD_Meduca!A7:N42,9,FALSE)</f>
        <v>OFICIAL</v>
      </c>
      <c r="S28" s="4" t="str">
        <f>VLOOKUP(Table1[[#This Row],[Nombres de Centros Educativos (MEDUCA)]],BD_Meduca!A7:N42,10,FALSE)</f>
        <v>ACTIVA</v>
      </c>
      <c r="T28" s="4" t="str">
        <f>VLOOKUP(Table1[[#This Row],[Nombres de Centros Educativos (MEDUCA)]],BD_Meduca!A7:N45,7,FALSE)</f>
        <v>RURAL</v>
      </c>
      <c r="U28" s="4" t="str">
        <f>VLOOKUP(Table1[[#This Row],[Nombres de Centros Educativos (MEDUCA)]],BD_Meduca!A7:N45,11,FALSE)</f>
        <v>NO</v>
      </c>
      <c r="V28" s="4" t="str">
        <f>VLOOKUP(Table1[[#This Row],[Nombres de Centros Educativos (MEDUCA)]],BD_Meduca!A7:N45,14,FALSE)</f>
        <v>PREESCOLAR-PRIMARIA</v>
      </c>
      <c r="W28" s="1" t="s">
        <v>251</v>
      </c>
      <c r="Y28" s="41" t="s">
        <v>139</v>
      </c>
      <c r="Z28" s="2">
        <v>1</v>
      </c>
      <c r="AA28" s="45">
        <v>276</v>
      </c>
      <c r="AB28" s="45">
        <v>2403</v>
      </c>
      <c r="AC28" s="2">
        <v>117</v>
      </c>
      <c r="AE28" s="40" t="s">
        <v>82</v>
      </c>
      <c r="AF28" s="51">
        <v>111</v>
      </c>
    </row>
    <row r="29" spans="1:32" x14ac:dyDescent="0.3">
      <c r="A29" s="1">
        <v>1</v>
      </c>
      <c r="B29" s="1">
        <v>38</v>
      </c>
      <c r="C29" s="1" t="s">
        <v>61</v>
      </c>
      <c r="D29" s="1" t="s">
        <v>11</v>
      </c>
      <c r="E29" s="1" t="s">
        <v>33</v>
      </c>
      <c r="F29" s="1" t="s">
        <v>54</v>
      </c>
      <c r="G29" s="1" t="s">
        <v>14</v>
      </c>
      <c r="H29" s="1">
        <v>9.3753630000000001</v>
      </c>
      <c r="I29" s="1">
        <v>-82.528323999999998</v>
      </c>
      <c r="J29" s="46">
        <v>42913</v>
      </c>
      <c r="K29" s="48">
        <f ca="1">(TODAY()-Table1[[#This Row],[Fecha de Activación]])/365</f>
        <v>8.4657534246575334</v>
      </c>
      <c r="L29" s="3">
        <f>VLOOKUP(Table1[[#This Row],[Nombre               (Punto de Acceso)]],BD_DataTransferida!A41:G94,7,FALSE)</f>
        <v>138</v>
      </c>
      <c r="M29" s="3">
        <f>VLOOKUP(Table1[[#This Row],[Nombre               (Punto de Acceso)]],BD_Sesiones!A40:I94,7,FALSE)</f>
        <v>1617</v>
      </c>
      <c r="N29" s="7">
        <f>TRUNC(Table1[[#This Row],[Datos (GB)]]/Table1[[#This Row],[Cantidad de Sesiones]]*1024)</f>
        <v>87</v>
      </c>
      <c r="O29" s="3" t="str">
        <f>VLOOKUP(Table1[[#This Row],[Nombre               (Punto de Acceso)]],BD_Sesiones!A40:I94,8,FALSE)</f>
        <v>C&amp;W Panamá</v>
      </c>
      <c r="P29" s="3" t="str">
        <f>VLOOKUP(Table1[[#This Row],[Nombre               (Punto de Acceso)]],BD_Sesiones!A40:I94,9,FALSE)</f>
        <v>Sí</v>
      </c>
      <c r="Q29" s="25" t="s">
        <v>61</v>
      </c>
      <c r="R29" s="4" t="str">
        <f>VLOOKUP(Table1[[#This Row],[Nombres de Centros Educativos (MEDUCA)]],BD_Meduca!A11:N70,9,FALSE)</f>
        <v>OFICIAL</v>
      </c>
      <c r="S29" s="4" t="str">
        <f>VLOOKUP(Table1[[#This Row],[Nombres de Centros Educativos (MEDUCA)]],BD_Meduca!A11:N70,10,FALSE)</f>
        <v>ACTIVA</v>
      </c>
      <c r="T29" s="4" t="str">
        <f>VLOOKUP(Table1[[#This Row],[Nombres de Centros Educativos (MEDUCA)]],BD_Meduca!A11:N73,7,FALSE)</f>
        <v>RURAL</v>
      </c>
      <c r="U29" s="4" t="str">
        <f>VLOOKUP(Table1[[#This Row],[Nombres de Centros Educativos (MEDUCA)]],BD_Meduca!A11:N73,11,FALSE)</f>
        <v>NO</v>
      </c>
      <c r="V29" s="4" t="str">
        <f>VLOOKUP(Table1[[#This Row],[Nombres de Centros Educativos (MEDUCA)]],BD_Meduca!A11:N73,14,FALSE)</f>
        <v>PREESCOLAR-PRIMARIA</v>
      </c>
      <c r="W29" s="1" t="s">
        <v>252</v>
      </c>
      <c r="Y29" s="41" t="s">
        <v>148</v>
      </c>
      <c r="Z29" s="2">
        <v>1</v>
      </c>
      <c r="AA29" s="45">
        <v>224</v>
      </c>
      <c r="AB29" s="45">
        <v>3301</v>
      </c>
      <c r="AC29" s="2">
        <v>69</v>
      </c>
      <c r="AE29" s="40" t="s">
        <v>33</v>
      </c>
      <c r="AF29" s="51">
        <v>92</v>
      </c>
    </row>
    <row r="30" spans="1:32" x14ac:dyDescent="0.3">
      <c r="A30" s="1">
        <v>1</v>
      </c>
      <c r="B30" s="1">
        <v>29</v>
      </c>
      <c r="C30" s="1" t="s">
        <v>48</v>
      </c>
      <c r="D30" s="1" t="s">
        <v>11</v>
      </c>
      <c r="E30" s="1" t="s">
        <v>33</v>
      </c>
      <c r="F30" s="1" t="s">
        <v>33</v>
      </c>
      <c r="G30" s="1" t="s">
        <v>14</v>
      </c>
      <c r="H30" s="1">
        <v>9.474736</v>
      </c>
      <c r="I30" s="1">
        <v>-82.499968999999993</v>
      </c>
      <c r="J30" s="46">
        <v>42912</v>
      </c>
      <c r="K30" s="48">
        <f ca="1">(TODAY()-Table1[[#This Row],[Fecha de Activación]])/365</f>
        <v>8.4684931506849317</v>
      </c>
      <c r="L30" s="3">
        <f>VLOOKUP(Table1[[#This Row],[Nombre               (Punto de Acceso)]],BD_DataTransferida!A25:G78,7,FALSE)</f>
        <v>182</v>
      </c>
      <c r="M30" s="3">
        <f>VLOOKUP(Table1[[#This Row],[Nombre               (Punto de Acceso)]],BD_Sesiones!A24:I78,7,FALSE)</f>
        <v>2159</v>
      </c>
      <c r="N30" s="7">
        <f>TRUNC(Table1[[#This Row],[Datos (GB)]]/Table1[[#This Row],[Cantidad de Sesiones]]*1024)</f>
        <v>86</v>
      </c>
      <c r="O30" s="3" t="str">
        <f>VLOOKUP(Table1[[#This Row],[Nombre               (Punto de Acceso)]],BD_Sesiones!A24:I78,8,FALSE)</f>
        <v>C&amp;W Panamá</v>
      </c>
      <c r="P30" s="3" t="str">
        <f>VLOOKUP(Table1[[#This Row],[Nombre               (Punto de Acceso)]],BD_Sesiones!A24:I78,9,FALSE)</f>
        <v>Sí</v>
      </c>
      <c r="Q30" s="25" t="s">
        <v>151</v>
      </c>
      <c r="R30" s="4" t="str">
        <f>VLOOKUP(Table1[[#This Row],[Nombres de Centros Educativos (MEDUCA)]],BD_Meduca!A8:N54,9,FALSE)</f>
        <v>OFICIAL</v>
      </c>
      <c r="S30" s="4" t="str">
        <f>VLOOKUP(Table1[[#This Row],[Nombres de Centros Educativos (MEDUCA)]],BD_Meduca!A8:N54,10,FALSE)</f>
        <v>ACTIVA</v>
      </c>
      <c r="T30" s="4" t="str">
        <f>VLOOKUP(Table1[[#This Row],[Nombres de Centros Educativos (MEDUCA)]],BD_Meduca!A8:N57,7,FALSE)</f>
        <v>INDIGENA</v>
      </c>
      <c r="U30" s="4" t="str">
        <f>VLOOKUP(Table1[[#This Row],[Nombres de Centros Educativos (MEDUCA)]],BD_Meduca!A8:N57,11,FALSE)</f>
        <v>SI</v>
      </c>
      <c r="V30" s="4" t="str">
        <f>VLOOKUP(Table1[[#This Row],[Nombres de Centros Educativos (MEDUCA)]],BD_Meduca!A8:N57,14,FALSE)</f>
        <v>PRIMARIA</v>
      </c>
      <c r="W30" s="1" t="s">
        <v>253</v>
      </c>
      <c r="Y30" s="41" t="s">
        <v>142</v>
      </c>
      <c r="Z30" s="2">
        <v>1</v>
      </c>
      <c r="AA30" s="45">
        <v>348</v>
      </c>
      <c r="AB30" s="45">
        <v>823</v>
      </c>
      <c r="AC30" s="2">
        <v>432</v>
      </c>
      <c r="AE30" s="40" t="s">
        <v>11</v>
      </c>
      <c r="AF30" s="51">
        <v>68</v>
      </c>
    </row>
    <row r="31" spans="1:32" ht="28.8" x14ac:dyDescent="0.3">
      <c r="A31" s="1">
        <v>1</v>
      </c>
      <c r="B31" s="1">
        <v>53</v>
      </c>
      <c r="C31" s="1" t="s">
        <v>84</v>
      </c>
      <c r="D31" s="1" t="s">
        <v>11</v>
      </c>
      <c r="E31" s="1" t="s">
        <v>82</v>
      </c>
      <c r="F31" s="1" t="s">
        <v>82</v>
      </c>
      <c r="G31" s="1" t="s">
        <v>14</v>
      </c>
      <c r="H31" s="1">
        <v>8.9487839999999998</v>
      </c>
      <c r="I31" s="1">
        <v>-82.116083000000003</v>
      </c>
      <c r="J31" s="46">
        <v>42950</v>
      </c>
      <c r="K31" s="48">
        <f ca="1">(TODAY()-Table1[[#This Row],[Fecha de Activación]])/365</f>
        <v>8.3643835616438356</v>
      </c>
      <c r="L31" s="3">
        <f>VLOOKUP(Table1[[#This Row],[Nombre               (Punto de Acceso)]],BD_DataTransferida!A44:G97,7,FALSE)</f>
        <v>339</v>
      </c>
      <c r="M31" s="3">
        <f>VLOOKUP(Table1[[#This Row],[Nombre               (Punto de Acceso)]],BD_Sesiones!A43:I97,7,FALSE)</f>
        <v>4017</v>
      </c>
      <c r="N31" s="7">
        <f>TRUNC(Table1[[#This Row],[Datos (GB)]]/Table1[[#This Row],[Cantidad de Sesiones]]*1024)</f>
        <v>86</v>
      </c>
      <c r="O31" s="3" t="str">
        <f>VLOOKUP(Table1[[#This Row],[Nombre               (Punto de Acceso)]],BD_Sesiones!A43:I97,8,FALSE)</f>
        <v>C&amp;W Panamá</v>
      </c>
      <c r="P31" s="3" t="str">
        <f>VLOOKUP(Table1[[#This Row],[Nombre               (Punto de Acceso)]],BD_Sesiones!A43:I97,9,FALSE)</f>
        <v>Sí</v>
      </c>
      <c r="Q31" s="21"/>
      <c r="R31" s="4"/>
      <c r="S31" s="4"/>
      <c r="T31" s="4"/>
      <c r="U31" s="4"/>
      <c r="V31" s="4"/>
      <c r="W31" s="1" t="s">
        <v>254</v>
      </c>
      <c r="Y31" s="41" t="s">
        <v>160</v>
      </c>
      <c r="Z31" s="2">
        <v>1</v>
      </c>
      <c r="AA31" s="45">
        <v>210</v>
      </c>
      <c r="AB31" s="45">
        <v>1775</v>
      </c>
      <c r="AC31" s="2">
        <v>121</v>
      </c>
      <c r="AE31" s="40" t="s">
        <v>206</v>
      </c>
      <c r="AF31" s="51">
        <v>98</v>
      </c>
    </row>
    <row r="32" spans="1:32" x14ac:dyDescent="0.3">
      <c r="A32" s="1">
        <v>1</v>
      </c>
      <c r="B32" s="1">
        <v>13</v>
      </c>
      <c r="C32" s="1" t="s">
        <v>32</v>
      </c>
      <c r="D32" s="1" t="s">
        <v>11</v>
      </c>
      <c r="E32" s="1" t="s">
        <v>33</v>
      </c>
      <c r="F32" s="1" t="s">
        <v>33</v>
      </c>
      <c r="G32" s="1" t="s">
        <v>14</v>
      </c>
      <c r="H32" s="1">
        <v>9.4372150000000001</v>
      </c>
      <c r="I32" s="1">
        <v>-82.519311000000002</v>
      </c>
      <c r="J32" s="46">
        <v>42926</v>
      </c>
      <c r="K32" s="48">
        <f ca="1">(TODAY()-Table1[[#This Row],[Fecha de Activación]])/365</f>
        <v>8.4301369863013704</v>
      </c>
      <c r="L32" s="3">
        <f>VLOOKUP(Table1[[#This Row],[Nombre               (Punto de Acceso)]],BD_DataTransferida!A3:G56,7,FALSE)</f>
        <v>134</v>
      </c>
      <c r="M32" s="3">
        <f>VLOOKUP(Table1[[#This Row],[Nombre               (Punto de Acceso)]],BD_Sesiones!A2:I56,7,FALSE)</f>
        <v>1654</v>
      </c>
      <c r="N32" s="7">
        <f>TRUNC(Table1[[#This Row],[Datos (GB)]]/Table1[[#This Row],[Cantidad de Sesiones]]*1024)</f>
        <v>82</v>
      </c>
      <c r="O32" s="3" t="str">
        <f>VLOOKUP(Table1[[#This Row],[Nombre               (Punto de Acceso)]],BD_Sesiones!A2:I56,8,FALSE)</f>
        <v>C&amp;W Panamá</v>
      </c>
      <c r="P32" s="3" t="str">
        <f>VLOOKUP(Table1[[#This Row],[Nombre               (Punto de Acceso)]],BD_Sesiones!A2:I56,9,FALSE)</f>
        <v>Sí</v>
      </c>
      <c r="Q32" s="21"/>
      <c r="R32" s="4"/>
      <c r="S32" s="4"/>
      <c r="T32" s="4"/>
      <c r="U32" s="4"/>
      <c r="V32" s="4"/>
      <c r="W32" s="1" t="s">
        <v>255</v>
      </c>
      <c r="Y32" s="41" t="s">
        <v>161</v>
      </c>
      <c r="Z32" s="2">
        <v>1</v>
      </c>
      <c r="AA32" s="45">
        <v>124</v>
      </c>
      <c r="AB32" s="45">
        <v>313</v>
      </c>
      <c r="AC32" s="2">
        <v>405</v>
      </c>
    </row>
    <row r="33" spans="1:32" x14ac:dyDescent="0.3">
      <c r="A33" s="1">
        <v>1</v>
      </c>
      <c r="B33" s="1">
        <v>30</v>
      </c>
      <c r="C33" s="1" t="s">
        <v>49</v>
      </c>
      <c r="D33" s="1" t="s">
        <v>11</v>
      </c>
      <c r="E33" s="1" t="s">
        <v>33</v>
      </c>
      <c r="F33" s="1" t="s">
        <v>33</v>
      </c>
      <c r="G33" s="1" t="s">
        <v>14</v>
      </c>
      <c r="H33" s="1">
        <v>9.474577</v>
      </c>
      <c r="I33" s="1">
        <v>-82.482877999999999</v>
      </c>
      <c r="J33" s="46">
        <v>42912</v>
      </c>
      <c r="K33" s="48">
        <f ca="1">(TODAY()-Table1[[#This Row],[Fecha de Activación]])/365</f>
        <v>8.4684931506849317</v>
      </c>
      <c r="L33" s="3">
        <f>VLOOKUP(Table1[[#This Row],[Nombre               (Punto de Acceso)]],BD_DataTransferida!A26:G79,7,FALSE)</f>
        <v>100</v>
      </c>
      <c r="M33" s="3">
        <f>VLOOKUP(Table1[[#This Row],[Nombre               (Punto de Acceso)]],BD_Sesiones!A25:I79,7,FALSE)</f>
        <v>1337</v>
      </c>
      <c r="N33" s="7">
        <f>TRUNC(Table1[[#This Row],[Datos (GB)]]/Table1[[#This Row],[Cantidad de Sesiones]]*1024)</f>
        <v>76</v>
      </c>
      <c r="O33" s="3" t="str">
        <f>VLOOKUP(Table1[[#This Row],[Nombre               (Punto de Acceso)]],BD_Sesiones!A25:I79,8,FALSE)</f>
        <v>C&amp;W Panamá</v>
      </c>
      <c r="P33" s="3" t="str">
        <f>VLOOKUP(Table1[[#This Row],[Nombre               (Punto de Acceso)]],BD_Sesiones!A25:I79,9,FALSE)</f>
        <v>Sí</v>
      </c>
      <c r="Q33" s="25" t="s">
        <v>158</v>
      </c>
      <c r="R33" s="4" t="str">
        <f>VLOOKUP(Table1[[#This Row],[Nombres de Centros Educativos (MEDUCA)]],BD_Meduca!A8:N55,9,FALSE)</f>
        <v>OFICIAL</v>
      </c>
      <c r="S33" s="4" t="str">
        <f>VLOOKUP(Table1[[#This Row],[Nombres de Centros Educativos (MEDUCA)]],BD_Meduca!A8:N55,10,FALSE)</f>
        <v>ACTIVA</v>
      </c>
      <c r="T33" s="4" t="str">
        <f>VLOOKUP(Table1[[#This Row],[Nombres de Centros Educativos (MEDUCA)]],BD_Meduca!A8:N58,7,FALSE)</f>
        <v>URBANA</v>
      </c>
      <c r="U33" s="4" t="str">
        <f>VLOOKUP(Table1[[#This Row],[Nombres de Centros Educativos (MEDUCA)]],BD_Meduca!A8:N58,11,FALSE)</f>
        <v>NO</v>
      </c>
      <c r="V33" s="4" t="str">
        <f>VLOOKUP(Table1[[#This Row],[Nombres de Centros Educativos (MEDUCA)]],BD_Meduca!A8:N58,14,FALSE)</f>
        <v>PREESCOLAR-PRIMARIA</v>
      </c>
      <c r="W33" s="1" t="s">
        <v>256</v>
      </c>
      <c r="Y33" s="41" t="s">
        <v>172</v>
      </c>
      <c r="Z33" s="2">
        <v>1</v>
      </c>
      <c r="AA33" s="45">
        <v>83</v>
      </c>
      <c r="AB33" s="45">
        <v>1418</v>
      </c>
      <c r="AC33" s="2">
        <v>59</v>
      </c>
    </row>
    <row r="34" spans="1:32" ht="43.2" x14ac:dyDescent="0.3">
      <c r="A34" s="1">
        <v>1</v>
      </c>
      <c r="B34" s="1">
        <v>20</v>
      </c>
      <c r="C34" s="1" t="s">
        <v>37</v>
      </c>
      <c r="D34" s="1" t="s">
        <v>11</v>
      </c>
      <c r="E34" s="1" t="s">
        <v>33</v>
      </c>
      <c r="F34" s="1" t="s">
        <v>33</v>
      </c>
      <c r="G34" s="1" t="s">
        <v>38</v>
      </c>
      <c r="H34" s="1">
        <v>9.4714100000000006</v>
      </c>
      <c r="I34" s="1">
        <v>-82.515739999999994</v>
      </c>
      <c r="J34" s="46">
        <v>42912</v>
      </c>
      <c r="K34" s="48">
        <f ca="1">(TODAY()-Table1[[#This Row],[Fecha de Activación]])/365</f>
        <v>8.4684931506849317</v>
      </c>
      <c r="L34" s="3">
        <f>VLOOKUP(Table1[[#This Row],[Nombre               (Punto de Acceso)]],BD_DataTransferida!A42:G95,7,FALSE)</f>
        <v>318</v>
      </c>
      <c r="M34" s="3">
        <f>VLOOKUP(Table1[[#This Row],[Nombre               (Punto de Acceso)]],BD_Sesiones!A41:I95,7,FALSE)</f>
        <v>4450</v>
      </c>
      <c r="N34" s="7">
        <f>TRUNC(Table1[[#This Row],[Datos (GB)]]/Table1[[#This Row],[Cantidad de Sesiones]]*1024)</f>
        <v>73</v>
      </c>
      <c r="O34" s="3" t="str">
        <f>VLOOKUP(Table1[[#This Row],[Nombre               (Punto de Acceso)]],BD_Sesiones!A41:I95,8,FALSE)</f>
        <v>C&amp;W Panamá</v>
      </c>
      <c r="P34" s="3" t="str">
        <f>VLOOKUP(Table1[[#This Row],[Nombre               (Punto de Acceso)]],BD_Sesiones!A41:I95,9,FALSE)</f>
        <v>Sí</v>
      </c>
      <c r="Q34" s="25" t="s">
        <v>156</v>
      </c>
      <c r="R34" s="4" t="str">
        <f>VLOOKUP(Table1[[#This Row],[Nombres de Centros Educativos (MEDUCA)]],BD_Meduca!A11:N71,9,FALSE)</f>
        <v>OFICIAL</v>
      </c>
      <c r="S34" s="4" t="str">
        <f>VLOOKUP(Table1[[#This Row],[Nombres de Centros Educativos (MEDUCA)]],BD_Meduca!A11:N71,10,FALSE)</f>
        <v>ACTIVA</v>
      </c>
      <c r="T34" s="4" t="str">
        <f>VLOOKUP(Table1[[#This Row],[Nombres de Centros Educativos (MEDUCA)]],BD_Meduca!A12:N74,7,FALSE)</f>
        <v>RURAL</v>
      </c>
      <c r="U34" s="4" t="str">
        <f>VLOOKUP(Table1[[#This Row],[Nombres de Centros Educativos (MEDUCA)]],BD_Meduca!A12:N74,11,FALSE)</f>
        <v>NO</v>
      </c>
      <c r="V34" s="4" t="str">
        <f>VLOOKUP(Table1[[#This Row],[Nombres de Centros Educativos (MEDUCA)]],BD_Meduca!A12:N74,14,FALSE)</f>
        <v>PRIMARIA</v>
      </c>
      <c r="W34" s="1" t="s">
        <v>257</v>
      </c>
      <c r="Y34" s="41" t="s">
        <v>138</v>
      </c>
      <c r="Z34" s="2">
        <v>1</v>
      </c>
      <c r="AA34" s="45">
        <v>133</v>
      </c>
      <c r="AB34" s="45">
        <v>996</v>
      </c>
      <c r="AC34" s="2">
        <v>136</v>
      </c>
    </row>
    <row r="35" spans="1:32" ht="28.8" x14ac:dyDescent="0.3">
      <c r="A35" s="1">
        <v>1</v>
      </c>
      <c r="B35" s="1">
        <v>39</v>
      </c>
      <c r="C35" s="1" t="s">
        <v>62</v>
      </c>
      <c r="D35" s="1" t="s">
        <v>11</v>
      </c>
      <c r="E35" s="1" t="s">
        <v>33</v>
      </c>
      <c r="F35" s="1" t="s">
        <v>54</v>
      </c>
      <c r="G35" s="1" t="s">
        <v>14</v>
      </c>
      <c r="H35" s="1">
        <v>9.4156689999999994</v>
      </c>
      <c r="I35" s="1">
        <v>-82.526246</v>
      </c>
      <c r="J35" s="46">
        <v>42927</v>
      </c>
      <c r="K35" s="48">
        <f ca="1">(TODAY()-Table1[[#This Row],[Fecha de Activación]])/365</f>
        <v>8.4273972602739722</v>
      </c>
      <c r="L35" s="3">
        <f>VLOOKUP(Table1[[#This Row],[Nombre               (Punto de Acceso)]],BD_DataTransferida!A53:G106,7,FALSE)</f>
        <v>100</v>
      </c>
      <c r="M35" s="3">
        <f>VLOOKUP(Table1[[#This Row],[Nombre               (Punto de Acceso)]],BD_Sesiones!A52:I106,7,FALSE)</f>
        <v>1434</v>
      </c>
      <c r="N35" s="7">
        <f>TRUNC(Table1[[#This Row],[Datos (GB)]]/Table1[[#This Row],[Cantidad de Sesiones]]*1024)</f>
        <v>71</v>
      </c>
      <c r="O35" s="3" t="str">
        <f>VLOOKUP(Table1[[#This Row],[Nombre               (Punto de Acceso)]],BD_Sesiones!A52:I106,8,FALSE)</f>
        <v>C&amp;W Panamá</v>
      </c>
      <c r="P35" s="3" t="str">
        <f>VLOOKUP(Table1[[#This Row],[Nombre               (Punto de Acceso)]],BD_Sesiones!A52:I106,9,FALSE)</f>
        <v>Sí</v>
      </c>
      <c r="Q35" s="21"/>
      <c r="R35" s="4"/>
      <c r="S35" s="4"/>
      <c r="T35" s="4"/>
      <c r="U35" s="4"/>
      <c r="V35" s="4"/>
      <c r="W35" s="1" t="s">
        <v>258</v>
      </c>
      <c r="Y35" s="41" t="s">
        <v>151</v>
      </c>
      <c r="Z35" s="2">
        <v>1</v>
      </c>
      <c r="AA35" s="45">
        <v>182</v>
      </c>
      <c r="AB35" s="45">
        <v>2159</v>
      </c>
      <c r="AC35" s="2">
        <v>86</v>
      </c>
    </row>
    <row r="36" spans="1:32" x14ac:dyDescent="0.3">
      <c r="A36" s="1">
        <v>1</v>
      </c>
      <c r="B36" s="1">
        <v>27</v>
      </c>
      <c r="C36" s="1" t="s">
        <v>45</v>
      </c>
      <c r="D36" s="1" t="s">
        <v>11</v>
      </c>
      <c r="E36" s="1" t="s">
        <v>33</v>
      </c>
      <c r="F36" s="1" t="s">
        <v>33</v>
      </c>
      <c r="G36" s="1" t="s">
        <v>38</v>
      </c>
      <c r="H36" s="1">
        <v>9.4270239999999994</v>
      </c>
      <c r="I36" s="1">
        <v>-82.555803999999995</v>
      </c>
      <c r="J36" s="46">
        <v>42913</v>
      </c>
      <c r="K36" s="48">
        <f ca="1">(TODAY()-Table1[[#This Row],[Fecha de Activación]])/365</f>
        <v>8.4657534246575334</v>
      </c>
      <c r="L36" s="3">
        <f>VLOOKUP(Table1[[#This Row],[Nombre               (Punto de Acceso)]],BD_DataTransferida!A7:G60,7,FALSE)</f>
        <v>224</v>
      </c>
      <c r="M36" s="3">
        <f>VLOOKUP(Table1[[#This Row],[Nombre               (Punto de Acceso)]],BD_Sesiones!A6:I60,7,FALSE)</f>
        <v>3301</v>
      </c>
      <c r="N36" s="7">
        <f>TRUNC(Table1[[#This Row],[Datos (GB)]]/Table1[[#This Row],[Cantidad de Sesiones]]*1024)</f>
        <v>69</v>
      </c>
      <c r="O36" s="3" t="str">
        <f>VLOOKUP(Table1[[#This Row],[Nombre               (Punto de Acceso)]],BD_Sesiones!A6:I60,8,FALSE)</f>
        <v>C&amp;W Panamá</v>
      </c>
      <c r="P36" s="3" t="str">
        <f>VLOOKUP(Table1[[#This Row],[Nombre               (Punto de Acceso)]],BD_Sesiones!A6:I60,9,FALSE)</f>
        <v>Sí</v>
      </c>
      <c r="Q36" s="25" t="s">
        <v>148</v>
      </c>
      <c r="R36" s="4" t="str">
        <f>VLOOKUP(Table1[[#This Row],[Nombres de Centros Educativos (MEDUCA)]],BD_Meduca!A4:N36,9,FALSE)</f>
        <v>PARTICULAR</v>
      </c>
      <c r="S36" s="4" t="str">
        <f>VLOOKUP(Table1[[#This Row],[Nombres de Centros Educativos (MEDUCA)]],BD_Meduca!A4:N36,10,FALSE)</f>
        <v>ACTIVA</v>
      </c>
      <c r="T36" s="4" t="str">
        <f>VLOOKUP(Table1[[#This Row],[Nombres de Centros Educativos (MEDUCA)]],BD_Meduca!A7:N39,7,FALSE)</f>
        <v>URBANA</v>
      </c>
      <c r="U36" s="4" t="str">
        <f>VLOOKUP(Table1[[#This Row],[Nombres de Centros Educativos (MEDUCA)]],BD_Meduca!A7:N39,11,FALSE)</f>
        <v>NO</v>
      </c>
      <c r="V36" s="4" t="str">
        <f>VLOOKUP(Table1[[#This Row],[Nombres de Centros Educativos (MEDUCA)]],BD_Meduca!A7:N39,14,FALSE)</f>
        <v>PREESCOLAR-PRIMARIA-PREMEDIA-MEDIA ACADÉMICA</v>
      </c>
      <c r="W36" s="1" t="s">
        <v>259</v>
      </c>
      <c r="Y36" s="41" t="s">
        <v>158</v>
      </c>
      <c r="Z36" s="2">
        <v>1</v>
      </c>
      <c r="AA36" s="45">
        <v>100</v>
      </c>
      <c r="AB36" s="45">
        <v>1337</v>
      </c>
      <c r="AC36" s="2">
        <v>76</v>
      </c>
    </row>
    <row r="37" spans="1:32" x14ac:dyDescent="0.3">
      <c r="A37" s="1">
        <v>1</v>
      </c>
      <c r="B37" s="1">
        <v>31</v>
      </c>
      <c r="C37" s="1" t="s">
        <v>50</v>
      </c>
      <c r="D37" s="1" t="s">
        <v>11</v>
      </c>
      <c r="E37" s="1" t="s">
        <v>33</v>
      </c>
      <c r="F37" s="1" t="s">
        <v>33</v>
      </c>
      <c r="G37" s="1" t="s">
        <v>14</v>
      </c>
      <c r="H37" s="1">
        <v>9.4589680000000005</v>
      </c>
      <c r="I37" s="1">
        <v>-82.496082000000001</v>
      </c>
      <c r="J37" s="46">
        <v>42949</v>
      </c>
      <c r="K37" s="48">
        <f ca="1">(TODAY()-Table1[[#This Row],[Fecha de Activación]])/365</f>
        <v>8.367123287671232</v>
      </c>
      <c r="L37" s="3">
        <f>VLOOKUP(Table1[[#This Row],[Nombre               (Punto de Acceso)]],BD_DataTransferida!A28:G81,7,FALSE)</f>
        <v>372</v>
      </c>
      <c r="M37" s="3">
        <f>VLOOKUP(Table1[[#This Row],[Nombre               (Punto de Acceso)]],BD_Sesiones!A27:I81,7,FALSE)</f>
        <v>5681</v>
      </c>
      <c r="N37" s="7">
        <f>TRUNC(Table1[[#This Row],[Datos (GB)]]/Table1[[#This Row],[Cantidad de Sesiones]]*1024)</f>
        <v>67</v>
      </c>
      <c r="O37" s="3" t="str">
        <f>VLOOKUP(Table1[[#This Row],[Nombre               (Punto de Acceso)]],BD_Sesiones!A27:I81,8,FALSE)</f>
        <v>C&amp;W Panamá</v>
      </c>
      <c r="P37" s="3" t="str">
        <f>VLOOKUP(Table1[[#This Row],[Nombre               (Punto de Acceso)]],BD_Sesiones!A27:I81,9,FALSE)</f>
        <v>Sí</v>
      </c>
      <c r="Q37" s="25" t="s">
        <v>143</v>
      </c>
      <c r="R37" s="4" t="str">
        <f>VLOOKUP(Table1[[#This Row],[Nombres de Centros Educativos (MEDUCA)]],BD_Meduca!A8:N57,9,FALSE)</f>
        <v>OFICIAL</v>
      </c>
      <c r="S37" s="4" t="str">
        <f>VLOOKUP(Table1[[#This Row],[Nombres de Centros Educativos (MEDUCA)]],BD_Meduca!A8:N57,10,FALSE)</f>
        <v>ACTIVA</v>
      </c>
      <c r="T37" s="4" t="str">
        <f>VLOOKUP(Table1[[#This Row],[Nombres de Centros Educativos (MEDUCA)]],BD_Meduca!A8:N60,7,FALSE)</f>
        <v>URBANA</v>
      </c>
      <c r="U37" s="4" t="str">
        <f>VLOOKUP(Table1[[#This Row],[Nombres de Centros Educativos (MEDUCA)]],BD_Meduca!A8:N60,11,FALSE)</f>
        <v>NO</v>
      </c>
      <c r="V37" s="4" t="str">
        <f>VLOOKUP(Table1[[#This Row],[Nombres de Centros Educativos (MEDUCA)]],BD_Meduca!A8:N60,14,FALSE)</f>
        <v>PREESCOLAR-PRIMARIA</v>
      </c>
      <c r="W37" s="1" t="s">
        <v>260</v>
      </c>
      <c r="Y37" s="41" t="s">
        <v>145</v>
      </c>
      <c r="Z37" s="2">
        <v>1</v>
      </c>
      <c r="AA37" s="45">
        <v>202</v>
      </c>
      <c r="AB37" s="45">
        <v>1776</v>
      </c>
      <c r="AC37" s="2">
        <v>116</v>
      </c>
      <c r="AE37" s="39" t="s">
        <v>218</v>
      </c>
      <c r="AF37" s="51" t="s">
        <v>219</v>
      </c>
    </row>
    <row r="38" spans="1:32" x14ac:dyDescent="0.3">
      <c r="A38" s="1">
        <v>1</v>
      </c>
      <c r="B38" s="1">
        <v>33</v>
      </c>
      <c r="C38" s="1" t="s">
        <v>53</v>
      </c>
      <c r="D38" s="1" t="s">
        <v>11</v>
      </c>
      <c r="E38" s="1" t="s">
        <v>33</v>
      </c>
      <c r="F38" s="1" t="s">
        <v>54</v>
      </c>
      <c r="G38" s="1" t="s">
        <v>14</v>
      </c>
      <c r="H38" s="1">
        <v>9.4058150000000005</v>
      </c>
      <c r="I38" s="1">
        <v>-82.501580000000004</v>
      </c>
      <c r="J38" s="46">
        <v>42913</v>
      </c>
      <c r="K38" s="48">
        <f ca="1">(TODAY()-Table1[[#This Row],[Fecha de Activación]])/365</f>
        <v>8.4657534246575334</v>
      </c>
      <c r="L38" s="3">
        <f>VLOOKUP(Table1[[#This Row],[Nombre               (Punto de Acceso)]],BD_DataTransferida!A6:G59,7,FALSE)</f>
        <v>137</v>
      </c>
      <c r="M38" s="3">
        <f>VLOOKUP(Table1[[#This Row],[Nombre               (Punto de Acceso)]],BD_Sesiones!A5:I59,7,FALSE)</f>
        <v>2157</v>
      </c>
      <c r="N38" s="7">
        <f>TRUNC(Table1[[#This Row],[Datos (GB)]]/Table1[[#This Row],[Cantidad de Sesiones]]*1024)</f>
        <v>65</v>
      </c>
      <c r="O38" s="3" t="str">
        <f>VLOOKUP(Table1[[#This Row],[Nombre               (Punto de Acceso)]],BD_Sesiones!A5:I59,8,FALSE)</f>
        <v>C&amp;W Panamá</v>
      </c>
      <c r="P38" s="3" t="str">
        <f>VLOOKUP(Table1[[#This Row],[Nombre               (Punto de Acceso)]],BD_Sesiones!A5:I59,9,FALSE)</f>
        <v>Sí</v>
      </c>
      <c r="Q38" s="25" t="s">
        <v>146</v>
      </c>
      <c r="R38" s="4" t="str">
        <f>VLOOKUP(Table1[[#This Row],[Nombres de Centros Educativos (MEDUCA)]],BD_Meduca!A3:N35,9,FALSE)</f>
        <v>OFICIAL</v>
      </c>
      <c r="S38" s="4" t="str">
        <f>VLOOKUP(Table1[[#This Row],[Nombres de Centros Educativos (MEDUCA)]],BD_Meduca!A3:N35,10,FALSE)</f>
        <v>ACTIVA</v>
      </c>
      <c r="T38" s="4" t="s">
        <v>107</v>
      </c>
      <c r="U38" s="4" t="s">
        <v>103</v>
      </c>
      <c r="V38" s="4" t="s">
        <v>118</v>
      </c>
      <c r="W38" s="1" t="s">
        <v>261</v>
      </c>
      <c r="Y38" s="41" t="s">
        <v>143</v>
      </c>
      <c r="Z38" s="2">
        <v>1</v>
      </c>
      <c r="AA38" s="45">
        <v>372</v>
      </c>
      <c r="AB38" s="45">
        <v>5681</v>
      </c>
      <c r="AC38" s="2">
        <v>67</v>
      </c>
      <c r="AE38" s="40" t="s">
        <v>220</v>
      </c>
      <c r="AF38" s="51">
        <v>48</v>
      </c>
    </row>
    <row r="39" spans="1:32" x14ac:dyDescent="0.3">
      <c r="A39" s="1">
        <v>1</v>
      </c>
      <c r="B39" s="1">
        <v>6</v>
      </c>
      <c r="C39" s="1" t="s">
        <v>10</v>
      </c>
      <c r="D39" s="1" t="s">
        <v>11</v>
      </c>
      <c r="E39" s="1" t="s">
        <v>12</v>
      </c>
      <c r="F39" s="1" t="s">
        <v>13</v>
      </c>
      <c r="G39" s="1" t="s">
        <v>14</v>
      </c>
      <c r="H39" s="1">
        <v>9.2997409999999991</v>
      </c>
      <c r="I39" s="1">
        <v>-82.413301000000004</v>
      </c>
      <c r="J39" s="46">
        <v>42926</v>
      </c>
      <c r="K39" s="48">
        <f ca="1">(TODAY()-Table1[[#This Row],[Fecha de Activación]])/365</f>
        <v>8.4301369863013704</v>
      </c>
      <c r="L39" s="3">
        <f>VLOOKUP(Table1[[#This Row],[Nombre               (Punto de Acceso)]],BD_DataTransferida!A12:G65,7,FALSE)</f>
        <v>120</v>
      </c>
      <c r="M39" s="3">
        <f>VLOOKUP(Table1[[#This Row],[Nombre               (Punto de Acceso)]],BD_Sesiones!A11:I65,7,FALSE)</f>
        <v>1993</v>
      </c>
      <c r="N39" s="7">
        <f>TRUNC(Table1[[#This Row],[Datos (GB)]]/Table1[[#This Row],[Cantidad de Sesiones]]*1024)</f>
        <v>61</v>
      </c>
      <c r="O39" s="3" t="str">
        <f>VLOOKUP(Table1[[#This Row],[Nombre               (Punto de Acceso)]],BD_Sesiones!A11:I65,8,FALSE)</f>
        <v>C&amp;W Panamá</v>
      </c>
      <c r="P39" s="3" t="str">
        <f>VLOOKUP(Table1[[#This Row],[Nombre               (Punto de Acceso)]],BD_Sesiones!A11:I65,9,FALSE)</f>
        <v>Sí</v>
      </c>
      <c r="Q39" s="25" t="s">
        <v>185</v>
      </c>
      <c r="R39" s="4" t="str">
        <f>VLOOKUP(Table1[[#This Row],[Nombres de Centros Educativos (MEDUCA)]],BD_Meduca!A7:N41,9,FALSE)</f>
        <v>OFICIAL</v>
      </c>
      <c r="S39" s="4" t="str">
        <f>VLOOKUP(Table1[[#This Row],[Nombres de Centros Educativos (MEDUCA)]],BD_Meduca!A7:N41,10,FALSE)</f>
        <v>ACTIVA</v>
      </c>
      <c r="T39" s="4" t="str">
        <f>VLOOKUP(Table1[[#This Row],[Nombres de Centros Educativos (MEDUCA)]],BD_Meduca!A7:N44,7,FALSE)</f>
        <v>RURAL</v>
      </c>
      <c r="U39" s="4" t="str">
        <f>VLOOKUP(Table1[[#This Row],[Nombres de Centros Educativos (MEDUCA)]],BD_Meduca!A7:N44,11,FALSE)</f>
        <v>NO</v>
      </c>
      <c r="V39" s="4" t="str">
        <f>VLOOKUP(Table1[[#This Row],[Nombres de Centros Educativos (MEDUCA)]],BD_Meduca!A7:N44,14,FALSE)</f>
        <v>PRIMARIA</v>
      </c>
      <c r="W39" s="1" t="s">
        <v>262</v>
      </c>
      <c r="Y39" s="41" t="s">
        <v>141</v>
      </c>
      <c r="Z39" s="2">
        <v>1</v>
      </c>
      <c r="AA39" s="45">
        <v>380</v>
      </c>
      <c r="AB39" s="45">
        <v>3385</v>
      </c>
      <c r="AC39" s="2">
        <v>114</v>
      </c>
      <c r="AE39" s="40" t="s">
        <v>221</v>
      </c>
      <c r="AF39" s="51">
        <v>3</v>
      </c>
    </row>
    <row r="40" spans="1:32" ht="28.8" x14ac:dyDescent="0.3">
      <c r="A40" s="1">
        <v>1</v>
      </c>
      <c r="B40" s="1">
        <v>1651</v>
      </c>
      <c r="C40" s="1" t="s">
        <v>31</v>
      </c>
      <c r="D40" s="1" t="s">
        <v>11</v>
      </c>
      <c r="E40" s="1" t="s">
        <v>11</v>
      </c>
      <c r="F40" s="1" t="s">
        <v>11</v>
      </c>
      <c r="G40" s="1" t="s">
        <v>14</v>
      </c>
      <c r="H40" s="1">
        <v>9.3605420000000006</v>
      </c>
      <c r="I40" s="1">
        <v>-82.253090999999998</v>
      </c>
      <c r="J40" s="1"/>
      <c r="K40" s="48"/>
      <c r="L40" s="3">
        <f>VLOOKUP(Table1[[#This Row],[Nombre               (Punto de Acceso)]],BD_DataTransferida!A39:G92,7,FALSE)</f>
        <v>139</v>
      </c>
      <c r="M40" s="3">
        <f>VLOOKUP(Table1[[#This Row],[Nombre               (Punto de Acceso)]],BD_Sesiones!A38:I92,7,FALSE)</f>
        <v>2292</v>
      </c>
      <c r="N40" s="7">
        <f>TRUNC(Table1[[#This Row],[Datos (GB)]]/Table1[[#This Row],[Cantidad de Sesiones]]*1024)</f>
        <v>62</v>
      </c>
      <c r="O40" s="3" t="str">
        <f>VLOOKUP(Table1[[#This Row],[Nombre               (Punto de Acceso)]],BD_Sesiones!A38:I92,8,FALSE)</f>
        <v>C&amp;W Panamá</v>
      </c>
      <c r="P40" s="3" t="str">
        <f>VLOOKUP(Table1[[#This Row],[Nombre               (Punto de Acceso)]],BD_Sesiones!A38:I92,9,FALSE)</f>
        <v>Sí</v>
      </c>
      <c r="Q40" s="25"/>
      <c r="R40" s="4"/>
      <c r="S40" s="4"/>
      <c r="T40" s="4"/>
      <c r="U40" s="4"/>
      <c r="V40" s="4"/>
      <c r="W40" s="1" t="s">
        <v>263</v>
      </c>
      <c r="Y40" s="41" t="s">
        <v>137</v>
      </c>
      <c r="Z40" s="2">
        <v>1</v>
      </c>
      <c r="AA40" s="45">
        <v>718</v>
      </c>
      <c r="AB40" s="45">
        <v>2808</v>
      </c>
      <c r="AC40" s="2">
        <v>261</v>
      </c>
      <c r="AE40" s="40" t="s">
        <v>222</v>
      </c>
      <c r="AF40" s="51">
        <v>2</v>
      </c>
    </row>
    <row r="41" spans="1:32" x14ac:dyDescent="0.3">
      <c r="A41" s="1">
        <v>1</v>
      </c>
      <c r="B41" s="1">
        <v>28</v>
      </c>
      <c r="C41" s="1" t="s">
        <v>46</v>
      </c>
      <c r="D41" s="1" t="s">
        <v>11</v>
      </c>
      <c r="E41" s="1" t="s">
        <v>33</v>
      </c>
      <c r="F41" s="1" t="s">
        <v>33</v>
      </c>
      <c r="G41" s="1" t="s">
        <v>47</v>
      </c>
      <c r="H41" s="1">
        <v>9.4372679999999995</v>
      </c>
      <c r="I41" s="1">
        <v>-82.497184000000004</v>
      </c>
      <c r="J41" s="46">
        <v>42912</v>
      </c>
      <c r="K41" s="48">
        <f ca="1">(TODAY()-Table1[[#This Row],[Fecha de Activación]])/365</f>
        <v>8.4684931506849317</v>
      </c>
      <c r="L41" s="3">
        <f>VLOOKUP(Table1[[#This Row],[Nombre               (Punto de Acceso)]],BD_DataTransferida!A8:G61,7,FALSE)</f>
        <v>279</v>
      </c>
      <c r="M41" s="3">
        <f>VLOOKUP(Table1[[#This Row],[Nombre               (Punto de Acceso)]],BD_Sesiones!A7:I61,7,FALSE)</f>
        <v>4745</v>
      </c>
      <c r="N41" s="7">
        <f>TRUNC(Table1[[#This Row],[Datos (GB)]]/Table1[[#This Row],[Cantidad de Sesiones]]*1024)</f>
        <v>60</v>
      </c>
      <c r="O41" s="3" t="str">
        <f>VLOOKUP(Table1[[#This Row],[Nombre               (Punto de Acceso)]],BD_Sesiones!A7:I61,8,FALSE)</f>
        <v>C&amp;W Panamá</v>
      </c>
      <c r="P41" s="3" t="str">
        <f>VLOOKUP(Table1[[#This Row],[Nombre               (Punto de Acceso)]],BD_Sesiones!A7:I61,9,FALSE)</f>
        <v>Sí</v>
      </c>
      <c r="Q41" s="25" t="s">
        <v>144</v>
      </c>
      <c r="R41" s="4" t="str">
        <f>VLOOKUP(Table1[[#This Row],[Nombres de Centros Educativos (MEDUCA)]],BD_Meduca!A5:N37,9,FALSE)</f>
        <v>OFICIAL</v>
      </c>
      <c r="S41" s="4" t="str">
        <f>VLOOKUP(Table1[[#This Row],[Nombres de Centros Educativos (MEDUCA)]],BD_Meduca!A5:N37,10,FALSE)</f>
        <v>ACTIVA</v>
      </c>
      <c r="T41" s="4" t="s">
        <v>136</v>
      </c>
      <c r="U41" s="4" t="s">
        <v>103</v>
      </c>
      <c r="V41" s="4" t="s">
        <v>118</v>
      </c>
      <c r="W41" s="1" t="s">
        <v>264</v>
      </c>
      <c r="Y41" s="41" t="s">
        <v>147</v>
      </c>
      <c r="Z41" s="2">
        <v>1</v>
      </c>
      <c r="AA41" s="45">
        <v>325</v>
      </c>
      <c r="AB41" s="45">
        <v>2487</v>
      </c>
      <c r="AC41" s="2">
        <v>133</v>
      </c>
      <c r="AE41" s="40" t="s">
        <v>59</v>
      </c>
      <c r="AF41" s="51">
        <v>1</v>
      </c>
    </row>
    <row r="42" spans="1:32" x14ac:dyDescent="0.3">
      <c r="A42" s="1">
        <v>1</v>
      </c>
      <c r="B42" s="1">
        <v>17</v>
      </c>
      <c r="C42" s="1" t="s">
        <v>34</v>
      </c>
      <c r="D42" s="1" t="s">
        <v>11</v>
      </c>
      <c r="E42" s="1" t="s">
        <v>33</v>
      </c>
      <c r="F42" s="1" t="s">
        <v>33</v>
      </c>
      <c r="G42" s="1" t="s">
        <v>14</v>
      </c>
      <c r="H42" s="1">
        <v>9.4711029999999994</v>
      </c>
      <c r="I42" s="1">
        <v>-82.513953999999998</v>
      </c>
      <c r="J42" s="46">
        <v>42913</v>
      </c>
      <c r="K42" s="48">
        <f ca="1">(TODAY()-Table1[[#This Row],[Fecha de Activación]])/365</f>
        <v>8.4657534246575334</v>
      </c>
      <c r="L42" s="3">
        <f>VLOOKUP(Table1[[#This Row],[Nombre               (Punto de Acceso)]],BD_DataTransferida!A23:G76,7,FALSE)</f>
        <v>83</v>
      </c>
      <c r="M42" s="3">
        <f>VLOOKUP(Table1[[#This Row],[Nombre               (Punto de Acceso)]],BD_Sesiones!A22:I76,7,FALSE)</f>
        <v>1418</v>
      </c>
      <c r="N42" s="7">
        <f>TRUNC(Table1[[#This Row],[Datos (GB)]]/Table1[[#This Row],[Cantidad de Sesiones]]*1024)</f>
        <v>59</v>
      </c>
      <c r="O42" s="3" t="str">
        <f>VLOOKUP(Table1[[#This Row],[Nombre               (Punto de Acceso)]],BD_Sesiones!A22:I76,8,FALSE)</f>
        <v>C&amp;W Panamá</v>
      </c>
      <c r="P42" s="3" t="str">
        <f>VLOOKUP(Table1[[#This Row],[Nombre               (Punto de Acceso)]],BD_Sesiones!A22:I76,9,FALSE)</f>
        <v>Sí</v>
      </c>
      <c r="Q42" s="25" t="s">
        <v>172</v>
      </c>
      <c r="R42" s="4" t="str">
        <f>VLOOKUP(Table1[[#This Row],[Nombres de Centros Educativos (MEDUCA)]],BD_Meduca!A8:N52,9,FALSE)</f>
        <v>OFICIAL</v>
      </c>
      <c r="S42" s="4" t="str">
        <f>VLOOKUP(Table1[[#This Row],[Nombres de Centros Educativos (MEDUCA)]],BD_Meduca!A8:N52,10,FALSE)</f>
        <v>ACTIVA</v>
      </c>
      <c r="T42" s="4" t="str">
        <f>VLOOKUP(Table1[[#This Row],[Nombres de Centros Educativos (MEDUCA)]],BD_Meduca!A8:N55,7,FALSE)</f>
        <v>INDIGENA</v>
      </c>
      <c r="U42" s="4" t="str">
        <f>VLOOKUP(Table1[[#This Row],[Nombres de Centros Educativos (MEDUCA)]],BD_Meduca!A8:N55,11,FALSE)</f>
        <v>SI</v>
      </c>
      <c r="V42" s="4" t="str">
        <f>VLOOKUP(Table1[[#This Row],[Nombres de Centros Educativos (MEDUCA)]],BD_Meduca!A8:N55,14,FALSE)</f>
        <v>PREESCOLAR-PRIMARIA</v>
      </c>
      <c r="W42" s="1" t="s">
        <v>265</v>
      </c>
      <c r="Y42" s="41" t="s">
        <v>156</v>
      </c>
      <c r="Z42" s="2">
        <v>1</v>
      </c>
      <c r="AA42" s="45">
        <v>318</v>
      </c>
      <c r="AB42" s="45">
        <v>4450</v>
      </c>
      <c r="AC42" s="2">
        <v>73</v>
      </c>
      <c r="AE42" s="40" t="s">
        <v>206</v>
      </c>
      <c r="AF42" s="51">
        <v>54</v>
      </c>
    </row>
    <row r="43" spans="1:32" ht="28.8" x14ac:dyDescent="0.3">
      <c r="A43" s="1">
        <v>1</v>
      </c>
      <c r="B43" s="1">
        <v>21</v>
      </c>
      <c r="C43" s="1" t="s">
        <v>40</v>
      </c>
      <c r="D43" s="1" t="s">
        <v>11</v>
      </c>
      <c r="E43" s="1" t="s">
        <v>33</v>
      </c>
      <c r="F43" s="1" t="s">
        <v>33</v>
      </c>
      <c r="G43" s="1" t="s">
        <v>14</v>
      </c>
      <c r="H43" s="1">
        <v>9.4545820000000003</v>
      </c>
      <c r="I43" s="1">
        <v>-82.516881999999995</v>
      </c>
      <c r="J43" s="46">
        <v>42912</v>
      </c>
      <c r="K43" s="48">
        <f ca="1">(TODAY()-Table1[[#This Row],[Fecha de Activación]])/365</f>
        <v>8.4684931506849317</v>
      </c>
      <c r="L43" s="3">
        <f>VLOOKUP(Table1[[#This Row],[Nombre               (Punto de Acceso)]],BD_DataTransferida!A45:G98,7,FALSE)</f>
        <v>134</v>
      </c>
      <c r="M43" s="3">
        <f>VLOOKUP(Table1[[#This Row],[Nombre               (Punto de Acceso)]],BD_Sesiones!A44:I98,7,FALSE)</f>
        <v>2469</v>
      </c>
      <c r="N43" s="7">
        <f>TRUNC(Table1[[#This Row],[Datos (GB)]]/Table1[[#This Row],[Cantidad de Sesiones]]*1024)</f>
        <v>55</v>
      </c>
      <c r="O43" s="3" t="str">
        <f>VLOOKUP(Table1[[#This Row],[Nombre               (Punto de Acceso)]],BD_Sesiones!A44:I98,8,FALSE)</f>
        <v>C&amp;W Panamá</v>
      </c>
      <c r="P43" s="3" t="str">
        <f>VLOOKUP(Table1[[#This Row],[Nombre               (Punto de Acceso)]],BD_Sesiones!A44:I98,9,FALSE)</f>
        <v>Sí</v>
      </c>
      <c r="Q43" s="21"/>
      <c r="R43" s="4"/>
      <c r="S43" s="4"/>
      <c r="T43" s="4"/>
      <c r="U43" s="4"/>
      <c r="V43" s="4"/>
      <c r="W43" s="1" t="s">
        <v>266</v>
      </c>
      <c r="Y43" s="41" t="s">
        <v>61</v>
      </c>
      <c r="Z43" s="2">
        <v>1</v>
      </c>
      <c r="AA43" s="45">
        <v>138</v>
      </c>
      <c r="AB43" s="45">
        <v>1617</v>
      </c>
      <c r="AC43" s="2">
        <v>87</v>
      </c>
    </row>
    <row r="44" spans="1:32" x14ac:dyDescent="0.3">
      <c r="A44" s="1">
        <v>1</v>
      </c>
      <c r="B44" s="1">
        <v>35</v>
      </c>
      <c r="C44" s="1" t="s">
        <v>56</v>
      </c>
      <c r="D44" s="1" t="s">
        <v>11</v>
      </c>
      <c r="E44" s="1" t="s">
        <v>33</v>
      </c>
      <c r="F44" s="1" t="s">
        <v>54</v>
      </c>
      <c r="G44" s="1" t="s">
        <v>14</v>
      </c>
      <c r="H44" s="1">
        <v>9.4200789999999994</v>
      </c>
      <c r="I44" s="1">
        <v>-82.520909000000003</v>
      </c>
      <c r="J44" s="46">
        <v>42915</v>
      </c>
      <c r="K44" s="48">
        <f ca="1">(TODAY()-Table1[[#This Row],[Fecha de Activación]])/365</f>
        <v>8.4602739726027405</v>
      </c>
      <c r="L44" s="3">
        <f>VLOOKUP(Table1[[#This Row],[Nombre               (Punto de Acceso)]],BD_DataTransferida!A20:G73,7,FALSE)</f>
        <v>128</v>
      </c>
      <c r="M44" s="3">
        <f>VLOOKUP(Table1[[#This Row],[Nombre               (Punto de Acceso)]],BD_Sesiones!A19:I73,7,FALSE)</f>
        <v>2444</v>
      </c>
      <c r="N44" s="7">
        <f>TRUNC(Table1[[#This Row],[Datos (GB)]]/Table1[[#This Row],[Cantidad de Sesiones]]*1024)</f>
        <v>53</v>
      </c>
      <c r="O44" s="3" t="str">
        <f>VLOOKUP(Table1[[#This Row],[Nombre               (Punto de Acceso)]],BD_Sesiones!A19:I73,8,FALSE)</f>
        <v>C&amp;W Panamá</v>
      </c>
      <c r="P44" s="3" t="str">
        <f>VLOOKUP(Table1[[#This Row],[Nombre               (Punto de Acceso)]],BD_Sesiones!A19:I73,9,FALSE)</f>
        <v>Sí</v>
      </c>
      <c r="Q44" s="25" t="s">
        <v>162</v>
      </c>
      <c r="R44" s="4" t="s">
        <v>105</v>
      </c>
      <c r="S44" s="4" t="s">
        <v>104</v>
      </c>
      <c r="T44" s="4" t="s">
        <v>136</v>
      </c>
      <c r="U44" s="4" t="s">
        <v>103</v>
      </c>
      <c r="V44" s="4" t="s">
        <v>118</v>
      </c>
      <c r="W44" s="1" t="s">
        <v>267</v>
      </c>
      <c r="Y44" s="41" t="s">
        <v>224</v>
      </c>
      <c r="Z44" s="2">
        <v>14</v>
      </c>
      <c r="AA44" s="45">
        <v>2660</v>
      </c>
      <c r="AB44" s="45">
        <v>39006</v>
      </c>
      <c r="AC44" s="2">
        <v>69</v>
      </c>
    </row>
    <row r="45" spans="1:32" x14ac:dyDescent="0.3">
      <c r="A45" s="1">
        <v>1</v>
      </c>
      <c r="B45" s="1">
        <v>19</v>
      </c>
      <c r="C45" s="1" t="s">
        <v>36</v>
      </c>
      <c r="D45" s="1" t="s">
        <v>11</v>
      </c>
      <c r="E45" s="1" t="s">
        <v>33</v>
      </c>
      <c r="F45" s="1" t="s">
        <v>33</v>
      </c>
      <c r="G45" s="1" t="s">
        <v>14</v>
      </c>
      <c r="H45" s="1">
        <v>9.4490429999999996</v>
      </c>
      <c r="I45" s="1">
        <v>-82.516495000000006</v>
      </c>
      <c r="J45" s="46">
        <v>42915</v>
      </c>
      <c r="K45" s="48">
        <f ca="1">(TODAY()-Table1[[#This Row],[Fecha de Activación]])/365</f>
        <v>8.4602739726027405</v>
      </c>
      <c r="L45" s="3">
        <f>VLOOKUP(Table1[[#This Row],[Nombre               (Punto de Acceso)]],BD_DataTransferida!A37:G90,7,FALSE)</f>
        <v>212</v>
      </c>
      <c r="M45" s="3">
        <f>VLOOKUP(Table1[[#This Row],[Nombre               (Punto de Acceso)]],BD_Sesiones!A36:I90,7,FALSE)</f>
        <v>4505</v>
      </c>
      <c r="N45" s="7">
        <f>TRUNC(Table1[[#This Row],[Datos (GB)]]/Table1[[#This Row],[Cantidad de Sesiones]]*1024)</f>
        <v>48</v>
      </c>
      <c r="O45" s="3" t="str">
        <f>VLOOKUP(Table1[[#This Row],[Nombre               (Punto de Acceso)]],BD_Sesiones!A36:I90,8,FALSE)</f>
        <v>C&amp;W Panamá</v>
      </c>
      <c r="P45" s="3" t="str">
        <f>VLOOKUP(Table1[[#This Row],[Nombre               (Punto de Acceso)]],BD_Sesiones!A36:I90,9,FALSE)</f>
        <v>Sí</v>
      </c>
      <c r="Q45" s="25"/>
      <c r="R45" s="4"/>
      <c r="S45" s="4"/>
      <c r="T45" s="4"/>
      <c r="U45" s="4"/>
      <c r="V45" s="4"/>
      <c r="W45" s="1" t="s">
        <v>268</v>
      </c>
      <c r="Y45" s="40" t="s">
        <v>82</v>
      </c>
      <c r="Z45" s="2">
        <v>7</v>
      </c>
      <c r="AA45" s="45">
        <v>2126</v>
      </c>
      <c r="AB45" s="45">
        <v>19448</v>
      </c>
      <c r="AC45" s="2">
        <v>111</v>
      </c>
    </row>
    <row r="46" spans="1:32" x14ac:dyDescent="0.3">
      <c r="A46" s="1">
        <v>1</v>
      </c>
      <c r="B46" s="1">
        <v>1367</v>
      </c>
      <c r="C46" s="1" t="s">
        <v>88</v>
      </c>
      <c r="D46" s="1" t="s">
        <v>11</v>
      </c>
      <c r="E46" s="1" t="s">
        <v>82</v>
      </c>
      <c r="F46" s="1" t="s">
        <v>89</v>
      </c>
      <c r="G46" s="1" t="s">
        <v>14</v>
      </c>
      <c r="H46" s="1">
        <v>8.9178320000000006</v>
      </c>
      <c r="I46" s="1">
        <v>-82.185001</v>
      </c>
      <c r="J46" s="46">
        <v>42950</v>
      </c>
      <c r="K46" s="48">
        <f ca="1">(TODAY()-Table1[[#This Row],[Fecha de Activación]])/365</f>
        <v>8.3643835616438356</v>
      </c>
      <c r="L46" s="3">
        <f>VLOOKUP(Table1[[#This Row],[Nombre               (Punto de Acceso)]],BD_DataTransferida!A47:G100,7,FALSE)</f>
        <v>192</v>
      </c>
      <c r="M46" s="3">
        <f>VLOOKUP(Table1[[#This Row],[Nombre               (Punto de Acceso)]],BD_Sesiones!A46:I100,7,FALSE)</f>
        <v>4044</v>
      </c>
      <c r="N46" s="7">
        <f>TRUNC(Table1[[#This Row],[Datos (GB)]]/Table1[[#This Row],[Cantidad de Sesiones]]*1024)</f>
        <v>48</v>
      </c>
      <c r="O46" s="3" t="str">
        <f>VLOOKUP(Table1[[#This Row],[Nombre               (Punto de Acceso)]],BD_Sesiones!A46:I100,8,FALSE)</f>
        <v>C&amp;W Panamá</v>
      </c>
      <c r="P46" s="3" t="str">
        <f>VLOOKUP(Table1[[#This Row],[Nombre               (Punto de Acceso)]],BD_Sesiones!A46:I100,9,FALSE)</f>
        <v>Sí</v>
      </c>
      <c r="Q46" s="21"/>
      <c r="R46" s="4"/>
      <c r="S46" s="4"/>
      <c r="T46" s="4"/>
      <c r="U46" s="4"/>
      <c r="V46" s="4"/>
      <c r="W46" s="1" t="s">
        <v>269</v>
      </c>
      <c r="Y46" s="41" t="s">
        <v>85</v>
      </c>
      <c r="Z46" s="2">
        <v>1</v>
      </c>
      <c r="AA46" s="45">
        <v>407</v>
      </c>
      <c r="AB46" s="45">
        <v>2928</v>
      </c>
      <c r="AC46" s="2">
        <v>142</v>
      </c>
    </row>
    <row r="47" spans="1:32" ht="28.8" x14ac:dyDescent="0.3">
      <c r="A47" s="1">
        <v>1</v>
      </c>
      <c r="B47" s="1">
        <v>24</v>
      </c>
      <c r="C47" s="1" t="s">
        <v>43</v>
      </c>
      <c r="D47" s="1" t="s">
        <v>11</v>
      </c>
      <c r="E47" s="1" t="s">
        <v>33</v>
      </c>
      <c r="F47" s="1" t="s">
        <v>33</v>
      </c>
      <c r="G47" s="1" t="s">
        <v>14</v>
      </c>
      <c r="H47" s="1">
        <v>9.4776340000000001</v>
      </c>
      <c r="I47" s="1">
        <v>-82.508425000000003</v>
      </c>
      <c r="J47" s="46">
        <v>42913</v>
      </c>
      <c r="K47" s="48">
        <f ca="1">(TODAY()-Table1[[#This Row],[Fecha de Activación]])/365</f>
        <v>8.4657534246575334</v>
      </c>
      <c r="L47" s="3">
        <f>VLOOKUP(Table1[[#This Row],[Nombre               (Punto de Acceso)]],BD_DataTransferida!A49:G102,7,FALSE)</f>
        <v>251</v>
      </c>
      <c r="M47" s="3">
        <f>VLOOKUP(Table1[[#This Row],[Nombre               (Punto de Acceso)]],BD_Sesiones!A48:I102,7,FALSE)</f>
        <v>5699</v>
      </c>
      <c r="N47" s="7">
        <f>TRUNC(Table1[[#This Row],[Datos (GB)]]/Table1[[#This Row],[Cantidad de Sesiones]]*1024)</f>
        <v>45</v>
      </c>
      <c r="O47" s="3" t="str">
        <f>VLOOKUP(Table1[[#This Row],[Nombre               (Punto de Acceso)]],BD_Sesiones!A48:I102,8,FALSE)</f>
        <v>C&amp;W Panamá</v>
      </c>
      <c r="P47" s="3" t="str">
        <f>VLOOKUP(Table1[[#This Row],[Nombre               (Punto de Acceso)]],BD_Sesiones!A48:I102,9,FALSE)</f>
        <v>Sí</v>
      </c>
      <c r="Q47" s="21"/>
      <c r="R47" s="4"/>
      <c r="S47" s="4"/>
      <c r="T47" s="4"/>
      <c r="U47" s="4"/>
      <c r="V47" s="4"/>
      <c r="W47" s="1" t="s">
        <v>270</v>
      </c>
      <c r="Y47" s="41" t="s">
        <v>125</v>
      </c>
      <c r="Z47" s="2">
        <v>1</v>
      </c>
      <c r="AA47" s="45">
        <v>443</v>
      </c>
      <c r="AB47" s="45">
        <v>2980</v>
      </c>
      <c r="AC47" s="2">
        <v>152</v>
      </c>
    </row>
    <row r="48" spans="1:32" x14ac:dyDescent="0.3">
      <c r="A48" s="1">
        <v>1</v>
      </c>
      <c r="B48" s="1">
        <v>7</v>
      </c>
      <c r="C48" s="1" t="s">
        <v>16</v>
      </c>
      <c r="D48" s="1" t="s">
        <v>11</v>
      </c>
      <c r="E48" s="1" t="s">
        <v>12</v>
      </c>
      <c r="F48" s="1" t="s">
        <v>13</v>
      </c>
      <c r="G48" s="1" t="s">
        <v>14</v>
      </c>
      <c r="H48" s="1">
        <v>9.2927149999999994</v>
      </c>
      <c r="I48" s="1">
        <v>-82.394886999999997</v>
      </c>
      <c r="J48" s="46">
        <v>42914</v>
      </c>
      <c r="K48" s="48">
        <f ca="1">(TODAY()-Table1[[#This Row],[Fecha de Activación]])/365</f>
        <v>8.463013698630137</v>
      </c>
      <c r="L48" s="3">
        <f>VLOOKUP(Table1[[#This Row],[Nombre               (Punto de Acceso)]],BD_DataTransferida!A16:G69,7,FALSE)</f>
        <v>53</v>
      </c>
      <c r="M48" s="3">
        <f>VLOOKUP(Table1[[#This Row],[Nombre               (Punto de Acceso)]],BD_Sesiones!A15:I69,7,FALSE)</f>
        <v>1259</v>
      </c>
      <c r="N48" s="7">
        <f>TRUNC(Table1[[#This Row],[Datos (GB)]]/Table1[[#This Row],[Cantidad de Sesiones]]*1024)</f>
        <v>43</v>
      </c>
      <c r="O48" s="3" t="str">
        <f>VLOOKUP(Table1[[#This Row],[Nombre               (Punto de Acceso)]],BD_Sesiones!A15:I69,8,FALSE)</f>
        <v>C&amp;W Panamá</v>
      </c>
      <c r="P48" s="3" t="str">
        <f>VLOOKUP(Table1[[#This Row],[Nombre               (Punto de Acceso)]],BD_Sesiones!A15:I69,9,FALSE)</f>
        <v>Sí</v>
      </c>
      <c r="Q48" s="25" t="s">
        <v>186</v>
      </c>
      <c r="R48" s="4" t="str">
        <f>VLOOKUP(Table1[[#This Row],[Nombres de Centros Educativos (MEDUCA)]],BD_Meduca!A7:N45,9,FALSE)</f>
        <v>OFICIAL</v>
      </c>
      <c r="S48" s="4" t="str">
        <f>VLOOKUP(Table1[[#This Row],[Nombres de Centros Educativos (MEDUCA)]],BD_Meduca!A7:N45,10,FALSE)</f>
        <v>ACTIVA</v>
      </c>
      <c r="T48" s="4" t="str">
        <f>VLOOKUP(Table1[[#This Row],[Nombres de Centros Educativos (MEDUCA)]],BD_Meduca!A8:N48,7,FALSE)</f>
        <v>RURAL</v>
      </c>
      <c r="U48" s="4" t="str">
        <f>VLOOKUP(Table1[[#This Row],[Nombres de Centros Educativos (MEDUCA)]],BD_Meduca!A8:N48,11,FALSE)</f>
        <v>NO</v>
      </c>
      <c r="V48" s="4" t="str">
        <f>VLOOKUP(Table1[[#This Row],[Nombres de Centros Educativos (MEDUCA)]],BD_Meduca!A8:N48,14,FALSE)</f>
        <v>PREESCOLAR-PRIMARIA-PREMEDIA</v>
      </c>
      <c r="W48" s="1" t="s">
        <v>271</v>
      </c>
      <c r="Y48" s="41" t="s">
        <v>166</v>
      </c>
      <c r="Z48" s="2">
        <v>1</v>
      </c>
      <c r="AA48" s="45">
        <v>139</v>
      </c>
      <c r="AB48" s="45">
        <v>1098</v>
      </c>
      <c r="AC48" s="2">
        <v>129</v>
      </c>
    </row>
    <row r="49" spans="1:32" x14ac:dyDescent="0.3">
      <c r="A49" s="1">
        <v>1</v>
      </c>
      <c r="B49" s="1">
        <v>1629</v>
      </c>
      <c r="C49" s="1" t="s">
        <v>92</v>
      </c>
      <c r="D49" s="1" t="s">
        <v>11</v>
      </c>
      <c r="E49" s="1" t="s">
        <v>11</v>
      </c>
      <c r="F49" s="1" t="s">
        <v>11</v>
      </c>
      <c r="G49" s="1" t="s">
        <v>14</v>
      </c>
      <c r="H49" s="1">
        <v>9.3390799999999992</v>
      </c>
      <c r="I49" s="1">
        <v>-82.239630000000005</v>
      </c>
      <c r="J49" s="1"/>
      <c r="K49" s="48"/>
      <c r="L49" s="3">
        <f>VLOOKUP(Table1[[#This Row],[Nombre               (Punto de Acceso)]],BD_DataTransferida!A2:G55,7,FALSE)</f>
        <v>22</v>
      </c>
      <c r="M49" s="3">
        <f>VLOOKUP(Table1[[#This Row],[Nombre               (Punto de Acceso)]],BD_Sesiones!A1:I55,7,FALSE)</f>
        <v>800</v>
      </c>
      <c r="N49" s="7">
        <f>TRUNC(Table1[[#This Row],[Datos (GB)]]/Table1[[#This Row],[Cantidad de Sesiones]]*1024)</f>
        <v>28</v>
      </c>
      <c r="O49" s="3" t="str">
        <f>VLOOKUP(Table1[[#This Row],[Nombre               (Punto de Acceso)]],BD_Sesiones!A1:I55,8,FALSE)</f>
        <v>C&amp;W Panamá</v>
      </c>
      <c r="P49" s="3" t="str">
        <f>VLOOKUP(Table1[[#This Row],[Nombre               (Punto de Acceso)]],BD_Sesiones!A1:I55,9,FALSE)</f>
        <v>Sí</v>
      </c>
      <c r="Q49" s="21"/>
      <c r="R49" s="4"/>
      <c r="S49" s="4"/>
      <c r="T49" s="4"/>
      <c r="U49" s="4"/>
      <c r="V49" s="4"/>
      <c r="W49" s="1" t="s">
        <v>272</v>
      </c>
      <c r="Y49" s="41" t="s">
        <v>164</v>
      </c>
      <c r="Z49" s="2">
        <v>1</v>
      </c>
      <c r="AA49" s="45">
        <v>312</v>
      </c>
      <c r="AB49" s="45">
        <v>1627</v>
      </c>
      <c r="AC49" s="2">
        <v>196</v>
      </c>
    </row>
    <row r="50" spans="1:32" x14ac:dyDescent="0.3">
      <c r="A50" s="1">
        <v>1</v>
      </c>
      <c r="B50" s="1">
        <v>1369</v>
      </c>
      <c r="C50" s="1" t="s">
        <v>28</v>
      </c>
      <c r="D50" s="1" t="s">
        <v>11</v>
      </c>
      <c r="E50" s="1" t="s">
        <v>11</v>
      </c>
      <c r="F50" s="1" t="s">
        <v>11</v>
      </c>
      <c r="G50" s="1" t="s">
        <v>14</v>
      </c>
      <c r="H50" s="1">
        <v>9.2030419999999999</v>
      </c>
      <c r="I50" s="1">
        <v>-82.142238000000006</v>
      </c>
      <c r="J50" s="46">
        <v>43062</v>
      </c>
      <c r="K50" s="48">
        <f ca="1">(TODAY()-Table1[[#This Row],[Fecha de Activación]])/365</f>
        <v>8.0575342465753419</v>
      </c>
      <c r="L50" s="3">
        <f>VLOOKUP(Table1[[#This Row],[Nombre               (Punto de Acceso)]],BD_DataTransferida!A4:G57,7,FALSE)</f>
        <v>26</v>
      </c>
      <c r="M50" s="3">
        <f>VLOOKUP(Table1[[#This Row],[Nombre               (Punto de Acceso)]],BD_Sesiones!A3:I57,7,FALSE)</f>
        <v>1091</v>
      </c>
      <c r="N50" s="7">
        <f>TRUNC(Table1[[#This Row],[Datos (GB)]]/Table1[[#This Row],[Cantidad de Sesiones]]*1024)</f>
        <v>24</v>
      </c>
      <c r="O50" s="3" t="str">
        <f>VLOOKUP(Table1[[#This Row],[Nombre               (Punto de Acceso)]],BD_Sesiones!A3:I57,8,FALSE)</f>
        <v>C&amp;W Panamá</v>
      </c>
      <c r="P50" s="3" t="str">
        <f>VLOOKUP(Table1[[#This Row],[Nombre               (Punto de Acceso)]],BD_Sesiones!A3:I57,9,FALSE)</f>
        <v>Sí</v>
      </c>
      <c r="Q50" s="21"/>
      <c r="R50" s="4"/>
      <c r="S50" s="4"/>
      <c r="T50" s="4"/>
      <c r="U50" s="4"/>
      <c r="V50" s="4"/>
      <c r="W50" s="1" t="s">
        <v>273</v>
      </c>
      <c r="Y50" s="41" t="s">
        <v>224</v>
      </c>
      <c r="Z50" s="2">
        <v>3</v>
      </c>
      <c r="AA50" s="45">
        <v>825</v>
      </c>
      <c r="AB50" s="45">
        <v>10815</v>
      </c>
      <c r="AC50" s="2">
        <v>78</v>
      </c>
    </row>
    <row r="51" spans="1:32" ht="28.8" x14ac:dyDescent="0.3">
      <c r="A51" s="1">
        <v>1</v>
      </c>
      <c r="B51" s="1">
        <v>40</v>
      </c>
      <c r="C51" s="1" t="s">
        <v>63</v>
      </c>
      <c r="D51" s="1" t="s">
        <v>11</v>
      </c>
      <c r="E51" s="1" t="s">
        <v>33</v>
      </c>
      <c r="F51" s="1" t="s">
        <v>54</v>
      </c>
      <c r="G51" s="1" t="s">
        <v>14</v>
      </c>
      <c r="H51" s="1">
        <v>9.4953570000000003</v>
      </c>
      <c r="I51" s="1">
        <v>-82.586636999999996</v>
      </c>
      <c r="J51" s="46">
        <v>42913</v>
      </c>
      <c r="K51" s="48">
        <f ca="1">(TODAY()-Table1[[#This Row],[Fecha de Activación]])/365</f>
        <v>8.4657534246575334</v>
      </c>
      <c r="L51" s="3">
        <f>VLOOKUP(Table1[[#This Row],[Nombre               (Punto de Acceso)]],BD_DataTransferida!A54:G107,7,FALSE)</f>
        <v>27</v>
      </c>
      <c r="M51" s="3">
        <f>VLOOKUP(Table1[[#This Row],[Nombre               (Punto de Acceso)]],BD_Sesiones!A53:I107,7,FALSE)</f>
        <v>1217</v>
      </c>
      <c r="N51" s="7">
        <f>TRUNC(Table1[[#This Row],[Datos (GB)]]/Table1[[#This Row],[Cantidad de Sesiones]]*1024)</f>
        <v>22</v>
      </c>
      <c r="O51" s="3" t="str">
        <f>VLOOKUP(Table1[[#This Row],[Nombre               (Punto de Acceso)]],BD_Sesiones!A53:I107,8,FALSE)</f>
        <v>C&amp;W Panamá</v>
      </c>
      <c r="P51" s="3" t="str">
        <f>VLOOKUP(Table1[[#This Row],[Nombre               (Punto de Acceso)]],BD_Sesiones!A53:I107,9,FALSE)</f>
        <v>Sí</v>
      </c>
      <c r="Q51" s="21"/>
      <c r="R51" s="4"/>
      <c r="S51" s="4"/>
      <c r="T51" s="4"/>
      <c r="U51" s="4"/>
      <c r="V51" s="4"/>
      <c r="W51" s="1" t="s">
        <v>274</v>
      </c>
      <c r="Y51" s="40" t="s">
        <v>212</v>
      </c>
      <c r="Z51" s="2">
        <v>54</v>
      </c>
      <c r="AA51" s="45">
        <v>12154</v>
      </c>
      <c r="AB51" s="45">
        <v>126514</v>
      </c>
      <c r="AC51" s="2">
        <v>98</v>
      </c>
    </row>
    <row r="52" spans="1:32" ht="28.8" x14ac:dyDescent="0.3">
      <c r="A52" s="1">
        <v>1</v>
      </c>
      <c r="B52" s="1">
        <v>3</v>
      </c>
      <c r="C52" s="1" t="s">
        <v>26</v>
      </c>
      <c r="D52" s="1" t="s">
        <v>11</v>
      </c>
      <c r="E52" s="1" t="s">
        <v>11</v>
      </c>
      <c r="F52" s="1" t="s">
        <v>11</v>
      </c>
      <c r="G52" s="1" t="s">
        <v>14</v>
      </c>
      <c r="H52" s="1">
        <v>9.3389380000000006</v>
      </c>
      <c r="I52" s="1">
        <v>-82.242667999999995</v>
      </c>
      <c r="J52" s="46">
        <v>42928</v>
      </c>
      <c r="K52" s="48">
        <f ca="1">(TODAY()-Table1[[#This Row],[Fecha de Activación]])/365</f>
        <v>8.4246575342465757</v>
      </c>
      <c r="L52" s="3">
        <f>VLOOKUP(Table1[[#This Row],[Nombre               (Punto de Acceso)]],BD_DataTransferida!A35:G88,7,FALSE)</f>
        <v>24</v>
      </c>
      <c r="M52" s="3">
        <f>VLOOKUP(Table1[[#This Row],[Nombre               (Punto de Acceso)]],BD_Sesiones!A34:I88,7,FALSE)</f>
        <v>1097</v>
      </c>
      <c r="N52" s="7">
        <f>TRUNC(Table1[[#This Row],[Datos (GB)]]/Table1[[#This Row],[Cantidad de Sesiones]]*1024)</f>
        <v>22</v>
      </c>
      <c r="O52" s="3" t="str">
        <f>VLOOKUP(Table1[[#This Row],[Nombre               (Punto de Acceso)]],BD_Sesiones!A34:I88,8,FALSE)</f>
        <v>C&amp;W Panamá</v>
      </c>
      <c r="P52" s="3" t="str">
        <f>VLOOKUP(Table1[[#This Row],[Nombre               (Punto de Acceso)]],BD_Sesiones!A34:I88,9,FALSE)</f>
        <v>Sí</v>
      </c>
      <c r="Q52" s="25" t="s">
        <v>174</v>
      </c>
      <c r="R52" s="4" t="str">
        <f>VLOOKUP(Table1[[#This Row],[Nombres de Centros Educativos (MEDUCA)]],BD_Meduca!A10:N64,9,FALSE)</f>
        <v>OFICIAL</v>
      </c>
      <c r="S52" s="4" t="str">
        <f>VLOOKUP(Table1[[#This Row],[Nombres de Centros Educativos (MEDUCA)]],BD_Meduca!A10:N64,10,FALSE)</f>
        <v>ACTIVA</v>
      </c>
      <c r="T52" s="4" t="str">
        <f>VLOOKUP(Table1[[#This Row],[Nombres de Centros Educativos (MEDUCA)]],BD_Meduca!A11:N67,7,FALSE)</f>
        <v>INDIGENA</v>
      </c>
      <c r="U52" s="4" t="str">
        <f>VLOOKUP(Table1[[#This Row],[Nombres de Centros Educativos (MEDUCA)]],BD_Meduca!A11:N67,11,FALSE)</f>
        <v>SI</v>
      </c>
      <c r="V52" s="4" t="str">
        <f>VLOOKUP(Table1[[#This Row],[Nombres de Centros Educativos (MEDUCA)]],BD_Meduca!A11:N67,14,FALSE)</f>
        <v>PREESCOLAR-PRIMARIA-PREMEDIA</v>
      </c>
      <c r="W52" s="1" t="s">
        <v>275</v>
      </c>
      <c r="AE52" s="2" t="s">
        <v>422</v>
      </c>
      <c r="AF52" s="2" t="s">
        <v>423</v>
      </c>
    </row>
    <row r="53" spans="1:32" ht="28.8" x14ac:dyDescent="0.3">
      <c r="A53" s="1">
        <v>1</v>
      </c>
      <c r="B53" s="1">
        <v>26</v>
      </c>
      <c r="C53" s="1" t="s">
        <v>44</v>
      </c>
      <c r="D53" s="1" t="s">
        <v>11</v>
      </c>
      <c r="E53" s="1" t="s">
        <v>33</v>
      </c>
      <c r="F53" s="1" t="s">
        <v>33</v>
      </c>
      <c r="G53" s="1" t="s">
        <v>14</v>
      </c>
      <c r="H53" s="1">
        <v>9.4498580000000008</v>
      </c>
      <c r="I53" s="1">
        <v>-82.518679000000006</v>
      </c>
      <c r="J53" s="46">
        <v>42915</v>
      </c>
      <c r="K53" s="48">
        <f ca="1">(TODAY()-Table1[[#This Row],[Fecha de Activación]])/365</f>
        <v>8.4602739726027405</v>
      </c>
      <c r="L53" s="3">
        <f>VLOOKUP(Table1[[#This Row],[Nombre               (Punto de Acceso)]],BD_DataTransferida!A52:G105,7,FALSE)</f>
        <v>180</v>
      </c>
      <c r="M53" s="3">
        <f>VLOOKUP(Table1[[#This Row],[Nombre               (Punto de Acceso)]],BD_Sesiones!A51:I105,7,FALSE)</f>
        <v>8502</v>
      </c>
      <c r="N53" s="7">
        <f>TRUNC(Table1[[#This Row],[Datos (GB)]]/Table1[[#This Row],[Cantidad de Sesiones]]*1024)</f>
        <v>21</v>
      </c>
      <c r="O53" s="3" t="str">
        <f>VLOOKUP(Table1[[#This Row],[Nombre               (Punto de Acceso)]],BD_Sesiones!A51:I105,8,FALSE)</f>
        <v>C&amp;W Panamá</v>
      </c>
      <c r="P53" s="3" t="str">
        <f>VLOOKUP(Table1[[#This Row],[Nombre               (Punto de Acceso)]],BD_Sesiones!A51:I105,9,FALSE)</f>
        <v>Sí</v>
      </c>
      <c r="Q53" s="21"/>
      <c r="R53" s="4"/>
      <c r="S53" s="4"/>
      <c r="T53" s="4"/>
      <c r="U53" s="4"/>
      <c r="V53" s="4"/>
      <c r="W53" s="1" t="s">
        <v>276</v>
      </c>
      <c r="AE53" s="62" t="s">
        <v>424</v>
      </c>
      <c r="AF53">
        <f>COUNTA(Q2:Q52)</f>
        <v>33</v>
      </c>
    </row>
    <row r="54" spans="1:32" ht="28.8" x14ac:dyDescent="0.3">
      <c r="A54" s="1">
        <v>1</v>
      </c>
      <c r="B54" s="1">
        <v>1650</v>
      </c>
      <c r="C54" s="1" t="s">
        <v>80</v>
      </c>
      <c r="D54" s="1" t="s">
        <v>11</v>
      </c>
      <c r="E54" s="1" t="s">
        <v>33</v>
      </c>
      <c r="F54" s="1" t="s">
        <v>33</v>
      </c>
      <c r="G54" s="1" t="s">
        <v>14</v>
      </c>
      <c r="H54" s="1">
        <v>9.4485499999999991</v>
      </c>
      <c r="I54" s="1">
        <v>-82.518296000000007</v>
      </c>
      <c r="J54" s="1"/>
      <c r="K54" s="48"/>
      <c r="L54" s="3">
        <f>VLOOKUP(Table1[[#This Row],[Nombre               (Punto de Acceso)]],BD_DataTransferida!A50:G103,7,FALSE)</f>
        <v>15</v>
      </c>
      <c r="M54" s="3">
        <f>VLOOKUP(Table1[[#This Row],[Nombre               (Punto de Acceso)]],BD_Sesiones!A49:I103,7,FALSE)</f>
        <v>1412</v>
      </c>
      <c r="N54" s="7">
        <f>TRUNC(Table1[[#This Row],[Datos (GB)]]/Table1[[#This Row],[Cantidad de Sesiones]]*1024)</f>
        <v>10</v>
      </c>
      <c r="O54" s="3" t="str">
        <f>VLOOKUP(Table1[[#This Row],[Nombre               (Punto de Acceso)]],BD_Sesiones!A49:I103,8,FALSE)</f>
        <v>C&amp;W Panamá</v>
      </c>
      <c r="P54" s="3" t="str">
        <f>VLOOKUP(Table1[[#This Row],[Nombre               (Punto de Acceso)]],BD_Sesiones!A49:I103,9,FALSE)</f>
        <v>Sí</v>
      </c>
      <c r="Q54" s="21"/>
      <c r="R54" s="4"/>
      <c r="S54" s="4"/>
      <c r="T54" s="4"/>
      <c r="U54" s="4"/>
      <c r="V54" s="4"/>
      <c r="W54" s="1" t="s">
        <v>277</v>
      </c>
      <c r="AE54" s="62" t="s">
        <v>425</v>
      </c>
      <c r="AF54" s="62">
        <f>COUNTA(Table1[Centros Educativos sin Punto de Acceso a Internet de la RNI])</f>
        <v>193</v>
      </c>
    </row>
    <row r="55" spans="1:32" ht="28.8" x14ac:dyDescent="0.3">
      <c r="A55" s="27">
        <v>1</v>
      </c>
      <c r="B55" s="27">
        <v>5</v>
      </c>
      <c r="C55" s="27" t="s">
        <v>27</v>
      </c>
      <c r="D55" s="27" t="s">
        <v>11</v>
      </c>
      <c r="E55" s="27" t="s">
        <v>11</v>
      </c>
      <c r="F55" s="27" t="s">
        <v>11</v>
      </c>
      <c r="G55" s="27" t="s">
        <v>14</v>
      </c>
      <c r="H55" s="27">
        <v>9.3401829999999997</v>
      </c>
      <c r="I55" s="27">
        <v>-82.240630999999993</v>
      </c>
      <c r="J55" s="47">
        <v>42928</v>
      </c>
      <c r="K55" s="49">
        <f ca="1">(TODAY()-Table1[[#This Row],[Fecha de Activación]])/365</f>
        <v>8.4246575342465757</v>
      </c>
      <c r="L55" s="28">
        <f>VLOOKUP(Table1[[#This Row],[Nombre               (Punto de Acceso)]],BD_DataTransferida!A48:G101,7,FALSE)</f>
        <v>132</v>
      </c>
      <c r="M55" s="28"/>
      <c r="N55" s="29"/>
      <c r="O55" s="28"/>
      <c r="P55" s="28"/>
      <c r="Q55" s="26"/>
      <c r="R55" s="30"/>
      <c r="S55" s="30"/>
      <c r="T55" s="30"/>
      <c r="U55" s="30"/>
      <c r="V55" s="61"/>
      <c r="W55" s="1" t="s">
        <v>278</v>
      </c>
      <c r="AE55" s="64" t="s">
        <v>421</v>
      </c>
      <c r="AF55" s="63">
        <f>SUM(AF53:AF54)</f>
        <v>226</v>
      </c>
    </row>
    <row r="56" spans="1:32" x14ac:dyDescent="0.3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9"/>
      <c r="L56" s="54"/>
      <c r="M56" s="54"/>
      <c r="N56" s="56"/>
      <c r="O56" s="54"/>
      <c r="P56" s="54"/>
      <c r="Q56" s="60"/>
      <c r="R56" s="54"/>
      <c r="S56" s="54"/>
      <c r="T56" s="54"/>
      <c r="U56" s="54"/>
      <c r="V56" s="54"/>
      <c r="W56" s="1" t="s">
        <v>279</v>
      </c>
    </row>
    <row r="57" spans="1:32" x14ac:dyDescent="0.3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9"/>
      <c r="L57" s="54"/>
      <c r="M57" s="54"/>
      <c r="N57" s="56"/>
      <c r="O57" s="54"/>
      <c r="P57" s="54"/>
      <c r="Q57" s="60"/>
      <c r="R57" s="54"/>
      <c r="S57" s="54"/>
      <c r="T57" s="54"/>
      <c r="U57" s="54"/>
      <c r="V57" s="54"/>
      <c r="W57" s="1" t="s">
        <v>280</v>
      </c>
    </row>
    <row r="58" spans="1:32" x14ac:dyDescent="0.3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9"/>
      <c r="L58" s="54"/>
      <c r="M58" s="54"/>
      <c r="N58" s="56"/>
      <c r="O58" s="54"/>
      <c r="P58" s="54"/>
      <c r="Q58" s="60"/>
      <c r="R58" s="54"/>
      <c r="S58" s="54"/>
      <c r="T58" s="54"/>
      <c r="U58" s="54"/>
      <c r="V58" s="54"/>
      <c r="W58" s="1" t="s">
        <v>281</v>
      </c>
    </row>
    <row r="59" spans="1:32" x14ac:dyDescent="0.3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9"/>
      <c r="L59" s="54"/>
      <c r="M59" s="54"/>
      <c r="N59" s="56"/>
      <c r="O59" s="54"/>
      <c r="P59" s="54"/>
      <c r="Q59" s="60"/>
      <c r="R59" s="54"/>
      <c r="S59" s="54"/>
      <c r="T59" s="54"/>
      <c r="U59" s="54"/>
      <c r="V59" s="54"/>
      <c r="W59" s="1" t="s">
        <v>282</v>
      </c>
    </row>
    <row r="60" spans="1:32" x14ac:dyDescent="0.3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9"/>
      <c r="L60" s="54"/>
      <c r="M60" s="54"/>
      <c r="N60" s="56"/>
      <c r="O60" s="54"/>
      <c r="P60" s="54"/>
      <c r="Q60" s="60"/>
      <c r="R60" s="54"/>
      <c r="S60" s="54"/>
      <c r="T60" s="54"/>
      <c r="U60" s="54"/>
      <c r="V60" s="54"/>
      <c r="W60" s="1" t="s">
        <v>283</v>
      </c>
    </row>
    <row r="61" spans="1:32" x14ac:dyDescent="0.3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9"/>
      <c r="L61" s="54"/>
      <c r="M61" s="54"/>
      <c r="N61" s="56"/>
      <c r="O61" s="54"/>
      <c r="P61" s="54"/>
      <c r="Q61" s="60"/>
      <c r="R61" s="54"/>
      <c r="S61" s="54"/>
      <c r="T61" s="54"/>
      <c r="U61" s="54"/>
      <c r="V61" s="54"/>
      <c r="W61" s="1" t="s">
        <v>284</v>
      </c>
    </row>
    <row r="62" spans="1:32" x14ac:dyDescent="0.3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9"/>
      <c r="L62" s="54"/>
      <c r="M62" s="54"/>
      <c r="N62" s="56"/>
      <c r="O62" s="54"/>
      <c r="P62" s="54"/>
      <c r="Q62" s="60"/>
      <c r="R62" s="54"/>
      <c r="S62" s="54"/>
      <c r="T62" s="54"/>
      <c r="U62" s="54"/>
      <c r="V62" s="54"/>
      <c r="W62" s="1" t="s">
        <v>285</v>
      </c>
    </row>
    <row r="63" spans="1:32" x14ac:dyDescent="0.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9"/>
      <c r="L63" s="54"/>
      <c r="M63" s="54"/>
      <c r="N63" s="56"/>
      <c r="O63" s="54"/>
      <c r="P63" s="54"/>
      <c r="Q63" s="60"/>
      <c r="R63" s="54"/>
      <c r="S63" s="54"/>
      <c r="T63" s="54"/>
      <c r="U63" s="54"/>
      <c r="V63" s="54"/>
      <c r="W63" s="1" t="s">
        <v>286</v>
      </c>
    </row>
    <row r="64" spans="1:32" x14ac:dyDescent="0.3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9"/>
      <c r="L64" s="54"/>
      <c r="M64" s="54"/>
      <c r="N64" s="56"/>
      <c r="O64" s="54"/>
      <c r="P64" s="54"/>
      <c r="Q64" s="60"/>
      <c r="R64" s="54"/>
      <c r="S64" s="54"/>
      <c r="T64" s="54"/>
      <c r="U64" s="54"/>
      <c r="V64" s="54"/>
      <c r="W64" s="1" t="s">
        <v>287</v>
      </c>
    </row>
    <row r="65" spans="1:23" x14ac:dyDescent="0.3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9"/>
      <c r="L65" s="54"/>
      <c r="M65" s="54"/>
      <c r="N65" s="56"/>
      <c r="O65" s="54"/>
      <c r="P65" s="54"/>
      <c r="Q65" s="60"/>
      <c r="R65" s="54"/>
      <c r="S65" s="54"/>
      <c r="T65" s="54"/>
      <c r="U65" s="54"/>
      <c r="V65" s="54"/>
      <c r="W65" s="1" t="s">
        <v>288</v>
      </c>
    </row>
    <row r="66" spans="1:23" x14ac:dyDescent="0.3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9"/>
      <c r="L66" s="54"/>
      <c r="M66" s="54"/>
      <c r="N66" s="56"/>
      <c r="O66" s="54"/>
      <c r="P66" s="54"/>
      <c r="Q66" s="60"/>
      <c r="R66" s="54"/>
      <c r="S66" s="54"/>
      <c r="T66" s="54"/>
      <c r="U66" s="54"/>
      <c r="V66" s="54"/>
      <c r="W66" s="1" t="s">
        <v>289</v>
      </c>
    </row>
    <row r="67" spans="1:23" x14ac:dyDescent="0.3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9"/>
      <c r="L67" s="54"/>
      <c r="M67" s="54"/>
      <c r="N67" s="56"/>
      <c r="O67" s="54"/>
      <c r="P67" s="54"/>
      <c r="Q67" s="60"/>
      <c r="R67" s="54"/>
      <c r="S67" s="54"/>
      <c r="T67" s="54"/>
      <c r="U67" s="54"/>
      <c r="V67" s="54"/>
      <c r="W67" s="1" t="s">
        <v>290</v>
      </c>
    </row>
    <row r="68" spans="1:23" x14ac:dyDescent="0.3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9"/>
      <c r="L68" s="54"/>
      <c r="M68" s="54"/>
      <c r="N68" s="56"/>
      <c r="O68" s="54"/>
      <c r="P68" s="54"/>
      <c r="Q68" s="60"/>
      <c r="R68" s="54"/>
      <c r="S68" s="54"/>
      <c r="T68" s="54"/>
      <c r="U68" s="54"/>
      <c r="V68" s="54"/>
      <c r="W68" s="1" t="s">
        <v>291</v>
      </c>
    </row>
    <row r="69" spans="1:23" x14ac:dyDescent="0.3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9"/>
      <c r="L69" s="54"/>
      <c r="M69" s="54"/>
      <c r="N69" s="56"/>
      <c r="O69" s="54"/>
      <c r="P69" s="54"/>
      <c r="Q69" s="60"/>
      <c r="R69" s="54"/>
      <c r="S69" s="54"/>
      <c r="T69" s="54"/>
      <c r="U69" s="54"/>
      <c r="V69" s="54"/>
      <c r="W69" s="1" t="s">
        <v>292</v>
      </c>
    </row>
    <row r="70" spans="1:23" x14ac:dyDescent="0.3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9"/>
      <c r="L70" s="54"/>
      <c r="M70" s="54"/>
      <c r="N70" s="56"/>
      <c r="O70" s="54"/>
      <c r="P70" s="54"/>
      <c r="Q70" s="60"/>
      <c r="R70" s="54"/>
      <c r="S70" s="54"/>
      <c r="T70" s="54"/>
      <c r="U70" s="54"/>
      <c r="V70" s="54"/>
      <c r="W70" s="1" t="s">
        <v>293</v>
      </c>
    </row>
    <row r="71" spans="1:23" x14ac:dyDescent="0.3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9"/>
      <c r="L71" s="54"/>
      <c r="M71" s="54"/>
      <c r="N71" s="56"/>
      <c r="O71" s="54"/>
      <c r="P71" s="54"/>
      <c r="Q71" s="60"/>
      <c r="R71" s="54"/>
      <c r="S71" s="54"/>
      <c r="T71" s="54"/>
      <c r="U71" s="54"/>
      <c r="V71" s="54"/>
      <c r="W71" s="1" t="s">
        <v>294</v>
      </c>
    </row>
    <row r="72" spans="1:23" x14ac:dyDescent="0.3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9"/>
      <c r="L72" s="54"/>
      <c r="M72" s="54"/>
      <c r="N72" s="56"/>
      <c r="O72" s="54"/>
      <c r="P72" s="54"/>
      <c r="Q72" s="60"/>
      <c r="R72" s="54"/>
      <c r="S72" s="54"/>
      <c r="T72" s="54"/>
      <c r="U72" s="54"/>
      <c r="V72" s="54"/>
      <c r="W72" s="1" t="s">
        <v>295</v>
      </c>
    </row>
    <row r="73" spans="1:23" x14ac:dyDescent="0.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9"/>
      <c r="L73" s="54"/>
      <c r="M73" s="54"/>
      <c r="N73" s="56"/>
      <c r="O73" s="54"/>
      <c r="P73" s="54"/>
      <c r="Q73" s="60"/>
      <c r="R73" s="54"/>
      <c r="S73" s="54"/>
      <c r="T73" s="54"/>
      <c r="U73" s="54"/>
      <c r="V73" s="54"/>
      <c r="W73" s="1" t="s">
        <v>296</v>
      </c>
    </row>
    <row r="74" spans="1:23" x14ac:dyDescent="0.3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9"/>
      <c r="L74" s="54"/>
      <c r="M74" s="54"/>
      <c r="N74" s="56"/>
      <c r="O74" s="54"/>
      <c r="P74" s="54"/>
      <c r="Q74" s="60"/>
      <c r="R74" s="54"/>
      <c r="S74" s="54"/>
      <c r="T74" s="54"/>
      <c r="U74" s="54"/>
      <c r="V74" s="54"/>
      <c r="W74" s="1" t="s">
        <v>297</v>
      </c>
    </row>
    <row r="75" spans="1:23" x14ac:dyDescent="0.3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9"/>
      <c r="L75" s="54"/>
      <c r="M75" s="54"/>
      <c r="N75" s="56"/>
      <c r="O75" s="54"/>
      <c r="P75" s="54"/>
      <c r="Q75" s="60"/>
      <c r="R75" s="54"/>
      <c r="S75" s="54"/>
      <c r="T75" s="54"/>
      <c r="U75" s="54"/>
      <c r="V75" s="54"/>
      <c r="W75" s="1" t="s">
        <v>298</v>
      </c>
    </row>
    <row r="76" spans="1:23" x14ac:dyDescent="0.3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9"/>
      <c r="L76" s="54"/>
      <c r="M76" s="54"/>
      <c r="N76" s="56"/>
      <c r="O76" s="54"/>
      <c r="P76" s="54"/>
      <c r="Q76" s="60"/>
      <c r="R76" s="54"/>
      <c r="S76" s="54"/>
      <c r="T76" s="54"/>
      <c r="U76" s="54"/>
      <c r="V76" s="54"/>
      <c r="W76" s="1" t="s">
        <v>299</v>
      </c>
    </row>
    <row r="77" spans="1:23" x14ac:dyDescent="0.3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9"/>
      <c r="L77" s="54"/>
      <c r="M77" s="54"/>
      <c r="N77" s="56"/>
      <c r="O77" s="54"/>
      <c r="P77" s="54"/>
      <c r="Q77" s="60"/>
      <c r="R77" s="54"/>
      <c r="S77" s="54"/>
      <c r="T77" s="54"/>
      <c r="U77" s="54"/>
      <c r="V77" s="54"/>
      <c r="W77" s="1" t="s">
        <v>300</v>
      </c>
    </row>
    <row r="78" spans="1:23" x14ac:dyDescent="0.3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9"/>
      <c r="L78" s="54"/>
      <c r="M78" s="54"/>
      <c r="N78" s="56"/>
      <c r="O78" s="54"/>
      <c r="P78" s="54"/>
      <c r="Q78" s="60"/>
      <c r="R78" s="54"/>
      <c r="S78" s="54"/>
      <c r="T78" s="54"/>
      <c r="U78" s="54"/>
      <c r="V78" s="54"/>
      <c r="W78" s="1" t="s">
        <v>301</v>
      </c>
    </row>
    <row r="79" spans="1:23" x14ac:dyDescent="0.3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9"/>
      <c r="L79" s="54"/>
      <c r="M79" s="54"/>
      <c r="N79" s="56"/>
      <c r="O79" s="54"/>
      <c r="P79" s="54"/>
      <c r="Q79" s="60"/>
      <c r="R79" s="54"/>
      <c r="S79" s="54"/>
      <c r="T79" s="54"/>
      <c r="U79" s="54"/>
      <c r="V79" s="54"/>
      <c r="W79" s="1" t="s">
        <v>302</v>
      </c>
    </row>
    <row r="80" spans="1:23" x14ac:dyDescent="0.3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9"/>
      <c r="L80" s="54"/>
      <c r="M80" s="54"/>
      <c r="N80" s="56"/>
      <c r="O80" s="54"/>
      <c r="P80" s="54"/>
      <c r="Q80" s="60"/>
      <c r="R80" s="54"/>
      <c r="S80" s="54"/>
      <c r="T80" s="54"/>
      <c r="U80" s="54"/>
      <c r="V80" s="54"/>
      <c r="W80" s="1" t="s">
        <v>303</v>
      </c>
    </row>
    <row r="81" spans="1:23" x14ac:dyDescent="0.3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9"/>
      <c r="L81" s="54"/>
      <c r="M81" s="54"/>
      <c r="N81" s="56"/>
      <c r="O81" s="54"/>
      <c r="P81" s="54"/>
      <c r="Q81" s="60"/>
      <c r="R81" s="54"/>
      <c r="S81" s="54"/>
      <c r="T81" s="54"/>
      <c r="U81" s="54"/>
      <c r="V81" s="54"/>
      <c r="W81" s="1" t="s">
        <v>304</v>
      </c>
    </row>
    <row r="82" spans="1:23" x14ac:dyDescent="0.3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9"/>
      <c r="L82" s="54"/>
      <c r="M82" s="54"/>
      <c r="N82" s="56"/>
      <c r="O82" s="54"/>
      <c r="P82" s="54"/>
      <c r="Q82" s="60"/>
      <c r="R82" s="54"/>
      <c r="S82" s="54"/>
      <c r="T82" s="54"/>
      <c r="U82" s="54"/>
      <c r="V82" s="54"/>
      <c r="W82" s="1" t="s">
        <v>305</v>
      </c>
    </row>
    <row r="83" spans="1:23" x14ac:dyDescent="0.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9"/>
      <c r="L83" s="54"/>
      <c r="M83" s="54"/>
      <c r="N83" s="56"/>
      <c r="O83" s="54"/>
      <c r="P83" s="54"/>
      <c r="Q83" s="60"/>
      <c r="R83" s="54"/>
      <c r="S83" s="54"/>
      <c r="T83" s="54"/>
      <c r="U83" s="54"/>
      <c r="V83" s="54"/>
      <c r="W83" s="1" t="s">
        <v>306</v>
      </c>
    </row>
    <row r="84" spans="1:23" x14ac:dyDescent="0.3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9"/>
      <c r="L84" s="54"/>
      <c r="M84" s="54"/>
      <c r="N84" s="56"/>
      <c r="O84" s="54"/>
      <c r="P84" s="54"/>
      <c r="Q84" s="60"/>
      <c r="R84" s="54"/>
      <c r="S84" s="54"/>
      <c r="T84" s="54"/>
      <c r="U84" s="54"/>
      <c r="V84" s="54"/>
      <c r="W84" s="1" t="s">
        <v>307</v>
      </c>
    </row>
    <row r="85" spans="1:23" x14ac:dyDescent="0.3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9"/>
      <c r="L85" s="54"/>
      <c r="M85" s="54"/>
      <c r="N85" s="56"/>
      <c r="O85" s="54"/>
      <c r="P85" s="54"/>
      <c r="Q85" s="60"/>
      <c r="R85" s="54"/>
      <c r="S85" s="54"/>
      <c r="T85" s="54"/>
      <c r="U85" s="54"/>
      <c r="V85" s="54"/>
      <c r="W85" s="1" t="s">
        <v>308</v>
      </c>
    </row>
    <row r="86" spans="1:23" x14ac:dyDescent="0.3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9"/>
      <c r="L86" s="54"/>
      <c r="M86" s="54"/>
      <c r="N86" s="56"/>
      <c r="O86" s="54"/>
      <c r="P86" s="54"/>
      <c r="Q86" s="60"/>
      <c r="R86" s="54"/>
      <c r="S86" s="54"/>
      <c r="T86" s="54"/>
      <c r="U86" s="54"/>
      <c r="V86" s="54"/>
      <c r="W86" s="1" t="s">
        <v>309</v>
      </c>
    </row>
    <row r="87" spans="1:23" x14ac:dyDescent="0.3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9"/>
      <c r="L87" s="54"/>
      <c r="M87" s="54"/>
      <c r="N87" s="56"/>
      <c r="O87" s="54"/>
      <c r="P87" s="54"/>
      <c r="Q87" s="60"/>
      <c r="R87" s="54"/>
      <c r="S87" s="54"/>
      <c r="T87" s="54"/>
      <c r="U87" s="54"/>
      <c r="V87" s="54"/>
      <c r="W87" s="1" t="s">
        <v>310</v>
      </c>
    </row>
    <row r="88" spans="1:23" x14ac:dyDescent="0.3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9"/>
      <c r="L88" s="54"/>
      <c r="M88" s="54"/>
      <c r="N88" s="56"/>
      <c r="O88" s="54"/>
      <c r="P88" s="54"/>
      <c r="Q88" s="60"/>
      <c r="R88" s="54"/>
      <c r="S88" s="54"/>
      <c r="T88" s="54"/>
      <c r="U88" s="54"/>
      <c r="V88" s="54"/>
      <c r="W88" s="1" t="s">
        <v>311</v>
      </c>
    </row>
    <row r="89" spans="1:23" x14ac:dyDescent="0.3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9"/>
      <c r="L89" s="54"/>
      <c r="M89" s="54"/>
      <c r="N89" s="56"/>
      <c r="O89" s="54"/>
      <c r="P89" s="54"/>
      <c r="Q89" s="60"/>
      <c r="R89" s="54"/>
      <c r="S89" s="54"/>
      <c r="T89" s="54"/>
      <c r="U89" s="54"/>
      <c r="V89" s="54"/>
      <c r="W89" s="1" t="s">
        <v>312</v>
      </c>
    </row>
    <row r="90" spans="1:23" x14ac:dyDescent="0.3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9"/>
      <c r="L90" s="54"/>
      <c r="M90" s="54"/>
      <c r="N90" s="56"/>
      <c r="O90" s="54"/>
      <c r="P90" s="54"/>
      <c r="Q90" s="60"/>
      <c r="R90" s="54"/>
      <c r="S90" s="54"/>
      <c r="T90" s="54"/>
      <c r="U90" s="54"/>
      <c r="V90" s="54"/>
      <c r="W90" s="1" t="s">
        <v>313</v>
      </c>
    </row>
    <row r="91" spans="1:23" x14ac:dyDescent="0.3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9"/>
      <c r="L91" s="54"/>
      <c r="M91" s="54"/>
      <c r="N91" s="56"/>
      <c r="O91" s="54"/>
      <c r="P91" s="54"/>
      <c r="Q91" s="60"/>
      <c r="R91" s="54"/>
      <c r="S91" s="54"/>
      <c r="T91" s="54"/>
      <c r="U91" s="54"/>
      <c r="V91" s="54"/>
      <c r="W91" s="1" t="s">
        <v>314</v>
      </c>
    </row>
    <row r="92" spans="1:23" x14ac:dyDescent="0.3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9"/>
      <c r="L92" s="54"/>
      <c r="M92" s="54"/>
      <c r="N92" s="56"/>
      <c r="O92" s="54"/>
      <c r="P92" s="54"/>
      <c r="Q92" s="60"/>
      <c r="R92" s="54"/>
      <c r="S92" s="54"/>
      <c r="T92" s="54"/>
      <c r="U92" s="54"/>
      <c r="V92" s="54"/>
      <c r="W92" s="1" t="s">
        <v>315</v>
      </c>
    </row>
    <row r="93" spans="1:23" x14ac:dyDescent="0.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9"/>
      <c r="L93" s="54"/>
      <c r="M93" s="54"/>
      <c r="N93" s="56"/>
      <c r="O93" s="54"/>
      <c r="P93" s="54"/>
      <c r="Q93" s="60"/>
      <c r="R93" s="54"/>
      <c r="S93" s="54"/>
      <c r="T93" s="54"/>
      <c r="U93" s="54"/>
      <c r="V93" s="54"/>
      <c r="W93" s="1" t="s">
        <v>316</v>
      </c>
    </row>
    <row r="94" spans="1:23" x14ac:dyDescent="0.3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9"/>
      <c r="L94" s="54"/>
      <c r="M94" s="54"/>
      <c r="N94" s="56"/>
      <c r="O94" s="54"/>
      <c r="P94" s="54"/>
      <c r="Q94" s="60"/>
      <c r="R94" s="54"/>
      <c r="S94" s="54"/>
      <c r="T94" s="54"/>
      <c r="U94" s="54"/>
      <c r="V94" s="54"/>
      <c r="W94" s="1" t="s">
        <v>317</v>
      </c>
    </row>
    <row r="95" spans="1:23" x14ac:dyDescent="0.3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9"/>
      <c r="L95" s="54"/>
      <c r="M95" s="54"/>
      <c r="N95" s="56"/>
      <c r="O95" s="54"/>
      <c r="P95" s="54"/>
      <c r="Q95" s="60"/>
      <c r="R95" s="54"/>
      <c r="S95" s="54"/>
      <c r="T95" s="54"/>
      <c r="U95" s="54"/>
      <c r="V95" s="54"/>
      <c r="W95" s="1" t="s">
        <v>318</v>
      </c>
    </row>
    <row r="96" spans="1:23" x14ac:dyDescent="0.3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9"/>
      <c r="L96" s="54"/>
      <c r="M96" s="54"/>
      <c r="N96" s="56"/>
      <c r="O96" s="54"/>
      <c r="P96" s="54"/>
      <c r="Q96" s="60"/>
      <c r="R96" s="54"/>
      <c r="S96" s="54"/>
      <c r="T96" s="54"/>
      <c r="U96" s="54"/>
      <c r="V96" s="54"/>
      <c r="W96" s="1" t="s">
        <v>319</v>
      </c>
    </row>
    <row r="97" spans="1:23" x14ac:dyDescent="0.3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9"/>
      <c r="L97" s="54"/>
      <c r="M97" s="54"/>
      <c r="N97" s="56"/>
      <c r="O97" s="54"/>
      <c r="P97" s="54"/>
      <c r="Q97" s="60"/>
      <c r="R97" s="54"/>
      <c r="S97" s="54"/>
      <c r="T97" s="54"/>
      <c r="U97" s="54"/>
      <c r="V97" s="54"/>
      <c r="W97" s="1" t="s">
        <v>320</v>
      </c>
    </row>
    <row r="98" spans="1:23" x14ac:dyDescent="0.3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9"/>
      <c r="L98" s="54"/>
      <c r="M98" s="54"/>
      <c r="N98" s="56"/>
      <c r="O98" s="54"/>
      <c r="P98" s="54"/>
      <c r="Q98" s="60"/>
      <c r="R98" s="54"/>
      <c r="S98" s="54"/>
      <c r="T98" s="54"/>
      <c r="U98" s="54"/>
      <c r="V98" s="54"/>
      <c r="W98" s="1" t="s">
        <v>321</v>
      </c>
    </row>
    <row r="99" spans="1:23" x14ac:dyDescent="0.3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9"/>
      <c r="L99" s="54"/>
      <c r="M99" s="54"/>
      <c r="N99" s="56"/>
      <c r="O99" s="54"/>
      <c r="P99" s="54"/>
      <c r="Q99" s="60"/>
      <c r="R99" s="54"/>
      <c r="S99" s="54"/>
      <c r="T99" s="54"/>
      <c r="U99" s="54"/>
      <c r="V99" s="54"/>
      <c r="W99" s="1" t="s">
        <v>322</v>
      </c>
    </row>
    <row r="100" spans="1:23" x14ac:dyDescent="0.3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9"/>
      <c r="L100" s="54"/>
      <c r="M100" s="54"/>
      <c r="N100" s="56"/>
      <c r="O100" s="54"/>
      <c r="P100" s="54"/>
      <c r="Q100" s="60"/>
      <c r="R100" s="54"/>
      <c r="S100" s="54"/>
      <c r="T100" s="54"/>
      <c r="U100" s="54"/>
      <c r="V100" s="54"/>
      <c r="W100" s="1" t="s">
        <v>323</v>
      </c>
    </row>
    <row r="101" spans="1:23" x14ac:dyDescent="0.3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9"/>
      <c r="L101" s="54"/>
      <c r="M101" s="54"/>
      <c r="N101" s="56"/>
      <c r="O101" s="54"/>
      <c r="P101" s="54"/>
      <c r="Q101" s="60"/>
      <c r="R101" s="54"/>
      <c r="S101" s="54"/>
      <c r="T101" s="54"/>
      <c r="U101" s="54"/>
      <c r="V101" s="54"/>
      <c r="W101" s="1" t="s">
        <v>324</v>
      </c>
    </row>
    <row r="102" spans="1:23" x14ac:dyDescent="0.3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9"/>
      <c r="L102" s="54"/>
      <c r="M102" s="54"/>
      <c r="N102" s="56"/>
      <c r="O102" s="54"/>
      <c r="P102" s="54"/>
      <c r="Q102" s="60"/>
      <c r="R102" s="54"/>
      <c r="S102" s="54"/>
      <c r="T102" s="54"/>
      <c r="U102" s="54"/>
      <c r="V102" s="54"/>
      <c r="W102" s="1" t="s">
        <v>325</v>
      </c>
    </row>
    <row r="103" spans="1:23" x14ac:dyDescent="0.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9"/>
      <c r="L103" s="54"/>
      <c r="M103" s="54"/>
      <c r="N103" s="56"/>
      <c r="O103" s="54"/>
      <c r="P103" s="54"/>
      <c r="Q103" s="60"/>
      <c r="R103" s="54"/>
      <c r="S103" s="54"/>
      <c r="T103" s="54"/>
      <c r="U103" s="54"/>
      <c r="V103" s="54"/>
      <c r="W103" s="1" t="s">
        <v>326</v>
      </c>
    </row>
    <row r="104" spans="1:23" x14ac:dyDescent="0.3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9"/>
      <c r="L104" s="54"/>
      <c r="M104" s="54"/>
      <c r="N104" s="56"/>
      <c r="O104" s="54"/>
      <c r="P104" s="54"/>
      <c r="Q104" s="60"/>
      <c r="R104" s="54"/>
      <c r="S104" s="54"/>
      <c r="T104" s="54"/>
      <c r="U104" s="54"/>
      <c r="V104" s="54"/>
      <c r="W104" s="1" t="s">
        <v>327</v>
      </c>
    </row>
    <row r="105" spans="1:23" x14ac:dyDescent="0.3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9"/>
      <c r="L105" s="54"/>
      <c r="M105" s="54"/>
      <c r="N105" s="56"/>
      <c r="O105" s="54"/>
      <c r="P105" s="54"/>
      <c r="Q105" s="60"/>
      <c r="R105" s="54"/>
      <c r="S105" s="54"/>
      <c r="T105" s="54"/>
      <c r="U105" s="54"/>
      <c r="V105" s="54"/>
      <c r="W105" s="1" t="s">
        <v>328</v>
      </c>
    </row>
    <row r="106" spans="1:23" x14ac:dyDescent="0.3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9"/>
      <c r="L106" s="54"/>
      <c r="M106" s="54"/>
      <c r="N106" s="56"/>
      <c r="O106" s="54"/>
      <c r="P106" s="54"/>
      <c r="Q106" s="60"/>
      <c r="R106" s="54"/>
      <c r="S106" s="54"/>
      <c r="T106" s="54"/>
      <c r="U106" s="54"/>
      <c r="V106" s="54"/>
      <c r="W106" s="1" t="s">
        <v>329</v>
      </c>
    </row>
    <row r="107" spans="1:23" x14ac:dyDescent="0.3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9"/>
      <c r="L107" s="54"/>
      <c r="M107" s="54"/>
      <c r="N107" s="56"/>
      <c r="O107" s="54"/>
      <c r="P107" s="54"/>
      <c r="Q107" s="60"/>
      <c r="R107" s="54"/>
      <c r="S107" s="54"/>
      <c r="T107" s="54"/>
      <c r="U107" s="54"/>
      <c r="V107" s="54"/>
      <c r="W107" s="1" t="s">
        <v>330</v>
      </c>
    </row>
    <row r="108" spans="1:23" x14ac:dyDescent="0.3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9"/>
      <c r="L108" s="54"/>
      <c r="M108" s="54"/>
      <c r="N108" s="56"/>
      <c r="O108" s="54"/>
      <c r="P108" s="54"/>
      <c r="Q108" s="60"/>
      <c r="R108" s="54"/>
      <c r="S108" s="54"/>
      <c r="T108" s="54"/>
      <c r="U108" s="54"/>
      <c r="V108" s="54"/>
      <c r="W108" s="1" t="s">
        <v>331</v>
      </c>
    </row>
    <row r="109" spans="1:23" x14ac:dyDescent="0.3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9"/>
      <c r="L109" s="54"/>
      <c r="M109" s="54"/>
      <c r="N109" s="56"/>
      <c r="O109" s="54"/>
      <c r="P109" s="54"/>
      <c r="Q109" s="60"/>
      <c r="R109" s="54"/>
      <c r="S109" s="54"/>
      <c r="T109" s="54"/>
      <c r="U109" s="54"/>
      <c r="V109" s="54"/>
      <c r="W109" s="1" t="s">
        <v>332</v>
      </c>
    </row>
    <row r="110" spans="1:23" x14ac:dyDescent="0.3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9"/>
      <c r="L110" s="54"/>
      <c r="M110" s="54"/>
      <c r="N110" s="56"/>
      <c r="O110" s="54"/>
      <c r="P110" s="54"/>
      <c r="Q110" s="60"/>
      <c r="R110" s="54"/>
      <c r="S110" s="54"/>
      <c r="T110" s="54"/>
      <c r="U110" s="54"/>
      <c r="V110" s="54"/>
      <c r="W110" s="1" t="s">
        <v>333</v>
      </c>
    </row>
    <row r="111" spans="1:23" x14ac:dyDescent="0.3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9"/>
      <c r="L111" s="54"/>
      <c r="M111" s="54"/>
      <c r="N111" s="56"/>
      <c r="O111" s="54"/>
      <c r="P111" s="54"/>
      <c r="Q111" s="60"/>
      <c r="R111" s="54"/>
      <c r="S111" s="54"/>
      <c r="T111" s="54"/>
      <c r="U111" s="54"/>
      <c r="V111" s="54"/>
      <c r="W111" s="1" t="s">
        <v>334</v>
      </c>
    </row>
    <row r="112" spans="1:23" x14ac:dyDescent="0.3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9"/>
      <c r="L112" s="54"/>
      <c r="M112" s="54"/>
      <c r="N112" s="56"/>
      <c r="O112" s="54"/>
      <c r="P112" s="54"/>
      <c r="Q112" s="60"/>
      <c r="R112" s="54"/>
      <c r="S112" s="54"/>
      <c r="T112" s="54"/>
      <c r="U112" s="54"/>
      <c r="V112" s="54"/>
      <c r="W112" s="1" t="s">
        <v>335</v>
      </c>
    </row>
    <row r="113" spans="1:23" x14ac:dyDescent="0.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9"/>
      <c r="L113" s="54"/>
      <c r="M113" s="54"/>
      <c r="N113" s="56"/>
      <c r="O113" s="54"/>
      <c r="P113" s="54"/>
      <c r="Q113" s="60"/>
      <c r="R113" s="54"/>
      <c r="S113" s="54"/>
      <c r="T113" s="54"/>
      <c r="U113" s="54"/>
      <c r="V113" s="54"/>
      <c r="W113" s="1" t="s">
        <v>336</v>
      </c>
    </row>
    <row r="114" spans="1:23" x14ac:dyDescent="0.3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9"/>
      <c r="L114" s="54"/>
      <c r="M114" s="54"/>
      <c r="N114" s="56"/>
      <c r="O114" s="54"/>
      <c r="P114" s="54"/>
      <c r="Q114" s="60"/>
      <c r="R114" s="54"/>
      <c r="S114" s="54"/>
      <c r="T114" s="54"/>
      <c r="U114" s="54"/>
      <c r="V114" s="54"/>
      <c r="W114" s="1" t="s">
        <v>337</v>
      </c>
    </row>
    <row r="115" spans="1:23" x14ac:dyDescent="0.3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9"/>
      <c r="L115" s="54"/>
      <c r="M115" s="54"/>
      <c r="N115" s="56"/>
      <c r="O115" s="54"/>
      <c r="P115" s="54"/>
      <c r="Q115" s="60"/>
      <c r="R115" s="54"/>
      <c r="S115" s="54"/>
      <c r="T115" s="54"/>
      <c r="U115" s="54"/>
      <c r="V115" s="54"/>
      <c r="W115" s="1" t="s">
        <v>338</v>
      </c>
    </row>
    <row r="116" spans="1:23" x14ac:dyDescent="0.3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9"/>
      <c r="L116" s="54"/>
      <c r="M116" s="54"/>
      <c r="N116" s="56"/>
      <c r="O116" s="54"/>
      <c r="P116" s="54"/>
      <c r="Q116" s="60"/>
      <c r="R116" s="54"/>
      <c r="S116" s="54"/>
      <c r="T116" s="54"/>
      <c r="U116" s="54"/>
      <c r="V116" s="54"/>
      <c r="W116" s="1" t="s">
        <v>339</v>
      </c>
    </row>
    <row r="117" spans="1:23" x14ac:dyDescent="0.3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9"/>
      <c r="L117" s="54"/>
      <c r="M117" s="54"/>
      <c r="N117" s="56"/>
      <c r="O117" s="54"/>
      <c r="P117" s="54"/>
      <c r="Q117" s="60"/>
      <c r="R117" s="54"/>
      <c r="S117" s="54"/>
      <c r="T117" s="54"/>
      <c r="U117" s="54"/>
      <c r="V117" s="54"/>
      <c r="W117" s="1" t="s">
        <v>340</v>
      </c>
    </row>
    <row r="118" spans="1:23" x14ac:dyDescent="0.3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9"/>
      <c r="L118" s="54"/>
      <c r="M118" s="54"/>
      <c r="N118" s="56"/>
      <c r="O118" s="54"/>
      <c r="P118" s="54"/>
      <c r="Q118" s="60"/>
      <c r="R118" s="54"/>
      <c r="S118" s="54"/>
      <c r="T118" s="54"/>
      <c r="U118" s="54"/>
      <c r="V118" s="54"/>
      <c r="W118" s="1" t="s">
        <v>341</v>
      </c>
    </row>
    <row r="119" spans="1:23" x14ac:dyDescent="0.3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9"/>
      <c r="L119" s="54"/>
      <c r="M119" s="54"/>
      <c r="N119" s="56"/>
      <c r="O119" s="54"/>
      <c r="P119" s="54"/>
      <c r="Q119" s="60"/>
      <c r="R119" s="54"/>
      <c r="S119" s="54"/>
      <c r="T119" s="54"/>
      <c r="U119" s="54"/>
      <c r="V119" s="54"/>
      <c r="W119" s="1" t="s">
        <v>342</v>
      </c>
    </row>
    <row r="120" spans="1:23" x14ac:dyDescent="0.3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9"/>
      <c r="L120" s="54"/>
      <c r="M120" s="54"/>
      <c r="N120" s="56"/>
      <c r="O120" s="54"/>
      <c r="P120" s="54"/>
      <c r="Q120" s="60"/>
      <c r="R120" s="54"/>
      <c r="S120" s="54"/>
      <c r="T120" s="54"/>
      <c r="U120" s="54"/>
      <c r="V120" s="54"/>
      <c r="W120" s="1" t="s">
        <v>343</v>
      </c>
    </row>
    <row r="121" spans="1:23" x14ac:dyDescent="0.3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9"/>
      <c r="L121" s="54"/>
      <c r="M121" s="54"/>
      <c r="N121" s="56"/>
      <c r="O121" s="54"/>
      <c r="P121" s="54"/>
      <c r="Q121" s="60"/>
      <c r="R121" s="54"/>
      <c r="S121" s="54"/>
      <c r="T121" s="54"/>
      <c r="U121" s="54"/>
      <c r="V121" s="54"/>
      <c r="W121" s="1" t="s">
        <v>344</v>
      </c>
    </row>
    <row r="122" spans="1:23" x14ac:dyDescent="0.3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9"/>
      <c r="L122" s="54"/>
      <c r="M122" s="54"/>
      <c r="N122" s="56"/>
      <c r="O122" s="54"/>
      <c r="P122" s="54"/>
      <c r="Q122" s="60"/>
      <c r="R122" s="54"/>
      <c r="S122" s="54"/>
      <c r="T122" s="54"/>
      <c r="U122" s="54"/>
      <c r="V122" s="54"/>
      <c r="W122" s="1" t="s">
        <v>345</v>
      </c>
    </row>
    <row r="123" spans="1:23" x14ac:dyDescent="0.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9"/>
      <c r="L123" s="54"/>
      <c r="M123" s="54"/>
      <c r="N123" s="56"/>
      <c r="O123" s="54"/>
      <c r="P123" s="54"/>
      <c r="Q123" s="60"/>
      <c r="R123" s="54"/>
      <c r="S123" s="54"/>
      <c r="T123" s="54"/>
      <c r="U123" s="54"/>
      <c r="V123" s="54"/>
      <c r="W123" s="1" t="s">
        <v>346</v>
      </c>
    </row>
    <row r="124" spans="1:23" x14ac:dyDescent="0.3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9"/>
      <c r="L124" s="54"/>
      <c r="M124" s="54"/>
      <c r="N124" s="56"/>
      <c r="O124" s="54"/>
      <c r="P124" s="54"/>
      <c r="Q124" s="60"/>
      <c r="R124" s="54"/>
      <c r="S124" s="54"/>
      <c r="T124" s="54"/>
      <c r="U124" s="54"/>
      <c r="V124" s="54"/>
      <c r="W124" s="1" t="s">
        <v>347</v>
      </c>
    </row>
    <row r="125" spans="1:23" x14ac:dyDescent="0.3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9"/>
      <c r="L125" s="54"/>
      <c r="M125" s="54"/>
      <c r="N125" s="56"/>
      <c r="O125" s="54"/>
      <c r="P125" s="54"/>
      <c r="Q125" s="60"/>
      <c r="R125" s="54"/>
      <c r="S125" s="54"/>
      <c r="T125" s="54"/>
      <c r="U125" s="54"/>
      <c r="V125" s="54"/>
      <c r="W125" s="1" t="s">
        <v>348</v>
      </c>
    </row>
    <row r="126" spans="1:23" x14ac:dyDescent="0.3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9"/>
      <c r="L126" s="54"/>
      <c r="M126" s="54"/>
      <c r="N126" s="56"/>
      <c r="O126" s="54"/>
      <c r="P126" s="54"/>
      <c r="Q126" s="60"/>
      <c r="R126" s="54"/>
      <c r="S126" s="54"/>
      <c r="T126" s="54"/>
      <c r="U126" s="54"/>
      <c r="V126" s="54"/>
      <c r="W126" s="1" t="s">
        <v>349</v>
      </c>
    </row>
    <row r="127" spans="1:23" x14ac:dyDescent="0.3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9"/>
      <c r="L127" s="54"/>
      <c r="M127" s="54"/>
      <c r="N127" s="56"/>
      <c r="O127" s="54"/>
      <c r="P127" s="54"/>
      <c r="Q127" s="60"/>
      <c r="R127" s="54"/>
      <c r="S127" s="54"/>
      <c r="T127" s="54"/>
      <c r="U127" s="54"/>
      <c r="V127" s="54"/>
      <c r="W127" s="1" t="s">
        <v>350</v>
      </c>
    </row>
    <row r="128" spans="1:23" x14ac:dyDescent="0.3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9"/>
      <c r="L128" s="54"/>
      <c r="M128" s="54"/>
      <c r="N128" s="56"/>
      <c r="O128" s="54"/>
      <c r="P128" s="54"/>
      <c r="Q128" s="60"/>
      <c r="R128" s="54"/>
      <c r="S128" s="54"/>
      <c r="T128" s="54"/>
      <c r="U128" s="54"/>
      <c r="V128" s="54"/>
      <c r="W128" s="1" t="s">
        <v>351</v>
      </c>
    </row>
    <row r="129" spans="1:23" x14ac:dyDescent="0.3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9"/>
      <c r="L129" s="54"/>
      <c r="M129" s="54"/>
      <c r="N129" s="56"/>
      <c r="O129" s="54"/>
      <c r="P129" s="54"/>
      <c r="Q129" s="60"/>
      <c r="R129" s="54"/>
      <c r="S129" s="54"/>
      <c r="T129" s="54"/>
      <c r="U129" s="54"/>
      <c r="V129" s="54"/>
      <c r="W129" s="1" t="s">
        <v>352</v>
      </c>
    </row>
    <row r="130" spans="1:23" x14ac:dyDescent="0.3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9"/>
      <c r="L130" s="54"/>
      <c r="M130" s="54"/>
      <c r="N130" s="56"/>
      <c r="O130" s="54"/>
      <c r="P130" s="54"/>
      <c r="Q130" s="60"/>
      <c r="R130" s="54"/>
      <c r="S130" s="54"/>
      <c r="T130" s="54"/>
      <c r="U130" s="54"/>
      <c r="V130" s="54"/>
      <c r="W130" s="1" t="s">
        <v>353</v>
      </c>
    </row>
    <row r="131" spans="1:23" x14ac:dyDescent="0.3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9"/>
      <c r="L131" s="54"/>
      <c r="M131" s="54"/>
      <c r="N131" s="56"/>
      <c r="O131" s="54"/>
      <c r="P131" s="54"/>
      <c r="Q131" s="60"/>
      <c r="R131" s="54"/>
      <c r="S131" s="54"/>
      <c r="T131" s="54"/>
      <c r="U131" s="54"/>
      <c r="V131" s="54"/>
      <c r="W131" s="1" t="s">
        <v>354</v>
      </c>
    </row>
    <row r="132" spans="1:23" x14ac:dyDescent="0.3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9"/>
      <c r="L132" s="54"/>
      <c r="M132" s="54"/>
      <c r="N132" s="56"/>
      <c r="O132" s="54"/>
      <c r="P132" s="54"/>
      <c r="Q132" s="60"/>
      <c r="R132" s="54"/>
      <c r="S132" s="54"/>
      <c r="T132" s="54"/>
      <c r="U132" s="54"/>
      <c r="V132" s="54"/>
      <c r="W132" s="1" t="s">
        <v>355</v>
      </c>
    </row>
    <row r="133" spans="1:23" x14ac:dyDescent="0.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9"/>
      <c r="L133" s="54"/>
      <c r="M133" s="54"/>
      <c r="N133" s="56"/>
      <c r="O133" s="54"/>
      <c r="P133" s="54"/>
      <c r="Q133" s="60"/>
      <c r="R133" s="54"/>
      <c r="S133" s="54"/>
      <c r="T133" s="54"/>
      <c r="U133" s="54"/>
      <c r="V133" s="54"/>
      <c r="W133" s="1" t="s">
        <v>356</v>
      </c>
    </row>
    <row r="134" spans="1:23" x14ac:dyDescent="0.3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9"/>
      <c r="L134" s="54"/>
      <c r="M134" s="54"/>
      <c r="N134" s="56"/>
      <c r="O134" s="54"/>
      <c r="P134" s="54"/>
      <c r="Q134" s="60"/>
      <c r="R134" s="54"/>
      <c r="S134" s="54"/>
      <c r="T134" s="54"/>
      <c r="U134" s="54"/>
      <c r="V134" s="54"/>
      <c r="W134" s="1" t="s">
        <v>357</v>
      </c>
    </row>
    <row r="135" spans="1:23" x14ac:dyDescent="0.3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9"/>
      <c r="L135" s="54"/>
      <c r="M135" s="54"/>
      <c r="N135" s="56"/>
      <c r="O135" s="54"/>
      <c r="P135" s="54"/>
      <c r="Q135" s="60"/>
      <c r="R135" s="54"/>
      <c r="S135" s="54"/>
      <c r="T135" s="54"/>
      <c r="U135" s="54"/>
      <c r="V135" s="54"/>
      <c r="W135" s="1" t="s">
        <v>358</v>
      </c>
    </row>
    <row r="136" spans="1:23" x14ac:dyDescent="0.3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9"/>
      <c r="L136" s="54"/>
      <c r="M136" s="54"/>
      <c r="N136" s="56"/>
      <c r="O136" s="54"/>
      <c r="P136" s="54"/>
      <c r="Q136" s="60"/>
      <c r="R136" s="54"/>
      <c r="S136" s="54"/>
      <c r="T136" s="54"/>
      <c r="U136" s="54"/>
      <c r="V136" s="54"/>
      <c r="W136" s="1" t="s">
        <v>359</v>
      </c>
    </row>
    <row r="137" spans="1:23" x14ac:dyDescent="0.3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9"/>
      <c r="L137" s="54"/>
      <c r="M137" s="54"/>
      <c r="N137" s="56"/>
      <c r="O137" s="54"/>
      <c r="P137" s="54"/>
      <c r="Q137" s="60"/>
      <c r="R137" s="54"/>
      <c r="S137" s="54"/>
      <c r="T137" s="54"/>
      <c r="U137" s="54"/>
      <c r="V137" s="54"/>
      <c r="W137" s="1" t="s">
        <v>360</v>
      </c>
    </row>
    <row r="138" spans="1:23" x14ac:dyDescent="0.3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9"/>
      <c r="L138" s="54"/>
      <c r="M138" s="54"/>
      <c r="N138" s="56"/>
      <c r="O138" s="54"/>
      <c r="P138" s="54"/>
      <c r="Q138" s="60"/>
      <c r="R138" s="54"/>
      <c r="S138" s="54"/>
      <c r="T138" s="54"/>
      <c r="U138" s="54"/>
      <c r="V138" s="54"/>
      <c r="W138" s="1" t="s">
        <v>361</v>
      </c>
    </row>
    <row r="139" spans="1:23" x14ac:dyDescent="0.3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9"/>
      <c r="L139" s="54"/>
      <c r="M139" s="54"/>
      <c r="N139" s="56"/>
      <c r="O139" s="54"/>
      <c r="P139" s="54"/>
      <c r="Q139" s="60"/>
      <c r="R139" s="54"/>
      <c r="S139" s="54"/>
      <c r="T139" s="54"/>
      <c r="U139" s="54"/>
      <c r="V139" s="54"/>
      <c r="W139" s="1" t="s">
        <v>362</v>
      </c>
    </row>
    <row r="140" spans="1:23" x14ac:dyDescent="0.3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9"/>
      <c r="L140" s="54"/>
      <c r="M140" s="54"/>
      <c r="N140" s="56"/>
      <c r="O140" s="54"/>
      <c r="P140" s="54"/>
      <c r="Q140" s="60"/>
      <c r="R140" s="54"/>
      <c r="S140" s="54"/>
      <c r="T140" s="54"/>
      <c r="U140" s="54"/>
      <c r="V140" s="54"/>
      <c r="W140" s="1" t="s">
        <v>363</v>
      </c>
    </row>
    <row r="141" spans="1:23" x14ac:dyDescent="0.3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9"/>
      <c r="L141" s="54"/>
      <c r="M141" s="54"/>
      <c r="N141" s="56"/>
      <c r="O141" s="54"/>
      <c r="P141" s="54"/>
      <c r="Q141" s="60"/>
      <c r="R141" s="54"/>
      <c r="S141" s="54"/>
      <c r="T141" s="54"/>
      <c r="U141" s="54"/>
      <c r="V141" s="54"/>
      <c r="W141" s="1" t="s">
        <v>364</v>
      </c>
    </row>
    <row r="142" spans="1:23" x14ac:dyDescent="0.3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9"/>
      <c r="L142" s="54"/>
      <c r="M142" s="54"/>
      <c r="N142" s="56"/>
      <c r="O142" s="54"/>
      <c r="P142" s="54"/>
      <c r="Q142" s="60"/>
      <c r="R142" s="54"/>
      <c r="S142" s="54"/>
      <c r="T142" s="54"/>
      <c r="U142" s="54"/>
      <c r="V142" s="54"/>
      <c r="W142" s="1" t="s">
        <v>365</v>
      </c>
    </row>
    <row r="143" spans="1:23" x14ac:dyDescent="0.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9"/>
      <c r="L143" s="54"/>
      <c r="M143" s="54"/>
      <c r="N143" s="56"/>
      <c r="O143" s="54"/>
      <c r="P143" s="54"/>
      <c r="Q143" s="60"/>
      <c r="R143" s="54"/>
      <c r="S143" s="54"/>
      <c r="T143" s="54"/>
      <c r="U143" s="54"/>
      <c r="V143" s="54"/>
      <c r="W143" s="1" t="s">
        <v>366</v>
      </c>
    </row>
    <row r="144" spans="1:23" x14ac:dyDescent="0.3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9"/>
      <c r="L144" s="54"/>
      <c r="M144" s="54"/>
      <c r="N144" s="56"/>
      <c r="O144" s="54"/>
      <c r="P144" s="54"/>
      <c r="Q144" s="60"/>
      <c r="R144" s="54"/>
      <c r="S144" s="54"/>
      <c r="T144" s="54"/>
      <c r="U144" s="54"/>
      <c r="V144" s="54"/>
      <c r="W144" s="1" t="s">
        <v>367</v>
      </c>
    </row>
    <row r="145" spans="1:23" x14ac:dyDescent="0.3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9"/>
      <c r="L145" s="54"/>
      <c r="M145" s="54"/>
      <c r="N145" s="56"/>
      <c r="O145" s="54"/>
      <c r="P145" s="54"/>
      <c r="Q145" s="60"/>
      <c r="R145" s="54"/>
      <c r="S145" s="54"/>
      <c r="T145" s="54"/>
      <c r="U145" s="54"/>
      <c r="V145" s="54"/>
      <c r="W145" s="1" t="s">
        <v>368</v>
      </c>
    </row>
    <row r="146" spans="1:23" x14ac:dyDescent="0.3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9"/>
      <c r="L146" s="54"/>
      <c r="M146" s="54"/>
      <c r="N146" s="56"/>
      <c r="O146" s="54"/>
      <c r="P146" s="54"/>
      <c r="Q146" s="60"/>
      <c r="R146" s="54"/>
      <c r="S146" s="54"/>
      <c r="T146" s="54"/>
      <c r="U146" s="54"/>
      <c r="V146" s="54"/>
      <c r="W146" s="1" t="s">
        <v>369</v>
      </c>
    </row>
    <row r="147" spans="1:23" x14ac:dyDescent="0.3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9"/>
      <c r="L147" s="54"/>
      <c r="M147" s="54"/>
      <c r="N147" s="56"/>
      <c r="O147" s="54"/>
      <c r="P147" s="54"/>
      <c r="Q147" s="60"/>
      <c r="R147" s="54"/>
      <c r="S147" s="54"/>
      <c r="T147" s="54"/>
      <c r="U147" s="54"/>
      <c r="V147" s="54"/>
      <c r="W147" s="1" t="s">
        <v>370</v>
      </c>
    </row>
    <row r="148" spans="1:23" x14ac:dyDescent="0.3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9"/>
      <c r="L148" s="54"/>
      <c r="M148" s="54"/>
      <c r="N148" s="56"/>
      <c r="O148" s="54"/>
      <c r="P148" s="54"/>
      <c r="Q148" s="60"/>
      <c r="R148" s="54"/>
      <c r="S148" s="54"/>
      <c r="T148" s="54"/>
      <c r="U148" s="54"/>
      <c r="V148" s="54"/>
      <c r="W148" s="1" t="s">
        <v>371</v>
      </c>
    </row>
    <row r="149" spans="1:23" x14ac:dyDescent="0.3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9"/>
      <c r="L149" s="54"/>
      <c r="M149" s="54"/>
      <c r="N149" s="56"/>
      <c r="O149" s="54"/>
      <c r="P149" s="54"/>
      <c r="Q149" s="60"/>
      <c r="R149" s="54"/>
      <c r="S149" s="54"/>
      <c r="T149" s="54"/>
      <c r="U149" s="54"/>
      <c r="V149" s="54"/>
      <c r="W149" s="1" t="s">
        <v>372</v>
      </c>
    </row>
    <row r="150" spans="1:23" x14ac:dyDescent="0.3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9"/>
      <c r="L150" s="54"/>
      <c r="M150" s="54"/>
      <c r="N150" s="56"/>
      <c r="O150" s="54"/>
      <c r="P150" s="54"/>
      <c r="Q150" s="60"/>
      <c r="R150" s="54"/>
      <c r="S150" s="54"/>
      <c r="T150" s="54"/>
      <c r="U150" s="54"/>
      <c r="V150" s="54"/>
      <c r="W150" s="1" t="s">
        <v>373</v>
      </c>
    </row>
    <row r="151" spans="1:23" x14ac:dyDescent="0.3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9"/>
      <c r="L151" s="54"/>
      <c r="M151" s="54"/>
      <c r="N151" s="56"/>
      <c r="O151" s="54"/>
      <c r="P151" s="54"/>
      <c r="Q151" s="60"/>
      <c r="R151" s="54"/>
      <c r="S151" s="54"/>
      <c r="T151" s="54"/>
      <c r="U151" s="54"/>
      <c r="V151" s="54"/>
      <c r="W151" s="1" t="s">
        <v>374</v>
      </c>
    </row>
    <row r="152" spans="1:23" x14ac:dyDescent="0.3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9"/>
      <c r="L152" s="54"/>
      <c r="M152" s="54"/>
      <c r="N152" s="56"/>
      <c r="O152" s="54"/>
      <c r="P152" s="54"/>
      <c r="Q152" s="60"/>
      <c r="R152" s="54"/>
      <c r="S152" s="54"/>
      <c r="T152" s="54"/>
      <c r="U152" s="54"/>
      <c r="V152" s="54"/>
      <c r="W152" s="1" t="s">
        <v>375</v>
      </c>
    </row>
    <row r="153" spans="1:23" x14ac:dyDescent="0.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9"/>
      <c r="L153" s="54"/>
      <c r="M153" s="54"/>
      <c r="N153" s="56"/>
      <c r="O153" s="54"/>
      <c r="P153" s="54"/>
      <c r="Q153" s="60"/>
      <c r="R153" s="54"/>
      <c r="S153" s="54"/>
      <c r="T153" s="54"/>
      <c r="U153" s="54"/>
      <c r="V153" s="54"/>
      <c r="W153" s="1" t="s">
        <v>376</v>
      </c>
    </row>
    <row r="154" spans="1:23" x14ac:dyDescent="0.3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9"/>
      <c r="L154" s="54"/>
      <c r="M154" s="54"/>
      <c r="N154" s="56"/>
      <c r="O154" s="54"/>
      <c r="P154" s="54"/>
      <c r="Q154" s="60"/>
      <c r="R154" s="54"/>
      <c r="S154" s="54"/>
      <c r="T154" s="54"/>
      <c r="U154" s="54"/>
      <c r="V154" s="54"/>
      <c r="W154" s="1" t="s">
        <v>377</v>
      </c>
    </row>
    <row r="155" spans="1:23" x14ac:dyDescent="0.3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9"/>
      <c r="L155" s="54"/>
      <c r="M155" s="54"/>
      <c r="N155" s="56"/>
      <c r="O155" s="54"/>
      <c r="P155" s="54"/>
      <c r="Q155" s="60"/>
      <c r="R155" s="54"/>
      <c r="S155" s="54"/>
      <c r="T155" s="54"/>
      <c r="U155" s="54"/>
      <c r="V155" s="54"/>
      <c r="W155" s="1" t="s">
        <v>378</v>
      </c>
    </row>
    <row r="156" spans="1:23" x14ac:dyDescent="0.3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9"/>
      <c r="L156" s="54"/>
      <c r="M156" s="54"/>
      <c r="N156" s="56"/>
      <c r="O156" s="54"/>
      <c r="P156" s="54"/>
      <c r="Q156" s="60"/>
      <c r="R156" s="54"/>
      <c r="S156" s="54"/>
      <c r="T156" s="54"/>
      <c r="U156" s="54"/>
      <c r="V156" s="54"/>
      <c r="W156" s="1" t="s">
        <v>379</v>
      </c>
    </row>
    <row r="157" spans="1:23" x14ac:dyDescent="0.3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9"/>
      <c r="L157" s="54"/>
      <c r="M157" s="54"/>
      <c r="N157" s="56"/>
      <c r="O157" s="54"/>
      <c r="P157" s="54"/>
      <c r="Q157" s="60"/>
      <c r="R157" s="54"/>
      <c r="S157" s="54"/>
      <c r="T157" s="54"/>
      <c r="U157" s="54"/>
      <c r="V157" s="54"/>
      <c r="W157" s="1" t="s">
        <v>380</v>
      </c>
    </row>
    <row r="158" spans="1:23" x14ac:dyDescent="0.3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9"/>
      <c r="L158" s="54"/>
      <c r="M158" s="54"/>
      <c r="N158" s="56"/>
      <c r="O158" s="54"/>
      <c r="P158" s="54"/>
      <c r="Q158" s="60"/>
      <c r="R158" s="54"/>
      <c r="S158" s="54"/>
      <c r="T158" s="54"/>
      <c r="U158" s="54"/>
      <c r="V158" s="54"/>
      <c r="W158" s="1" t="s">
        <v>381</v>
      </c>
    </row>
    <row r="159" spans="1:23" x14ac:dyDescent="0.3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9"/>
      <c r="L159" s="54"/>
      <c r="M159" s="54"/>
      <c r="N159" s="56"/>
      <c r="O159" s="54"/>
      <c r="P159" s="54"/>
      <c r="Q159" s="60"/>
      <c r="R159" s="54"/>
      <c r="S159" s="54"/>
      <c r="T159" s="54"/>
      <c r="U159" s="54"/>
      <c r="V159" s="54"/>
      <c r="W159" s="1" t="s">
        <v>382</v>
      </c>
    </row>
    <row r="160" spans="1:23" x14ac:dyDescent="0.3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9"/>
      <c r="L160" s="54"/>
      <c r="M160" s="54"/>
      <c r="N160" s="56"/>
      <c r="O160" s="54"/>
      <c r="P160" s="54"/>
      <c r="Q160" s="60"/>
      <c r="R160" s="54"/>
      <c r="S160" s="54"/>
      <c r="T160" s="54"/>
      <c r="U160" s="54"/>
      <c r="V160" s="54"/>
      <c r="W160" s="1" t="s">
        <v>383</v>
      </c>
    </row>
    <row r="161" spans="1:23" x14ac:dyDescent="0.3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9"/>
      <c r="L161" s="54"/>
      <c r="M161" s="54"/>
      <c r="N161" s="56"/>
      <c r="O161" s="54"/>
      <c r="P161" s="54"/>
      <c r="Q161" s="60"/>
      <c r="R161" s="54"/>
      <c r="S161" s="54"/>
      <c r="T161" s="54"/>
      <c r="U161" s="54"/>
      <c r="V161" s="54"/>
      <c r="W161" s="1" t="s">
        <v>384</v>
      </c>
    </row>
    <row r="162" spans="1:23" x14ac:dyDescent="0.3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9"/>
      <c r="L162" s="54"/>
      <c r="M162" s="54"/>
      <c r="N162" s="56"/>
      <c r="O162" s="54"/>
      <c r="P162" s="54"/>
      <c r="Q162" s="60"/>
      <c r="R162" s="54"/>
      <c r="S162" s="54"/>
      <c r="T162" s="54"/>
      <c r="U162" s="54"/>
      <c r="V162" s="54"/>
      <c r="W162" s="1" t="s">
        <v>385</v>
      </c>
    </row>
    <row r="163" spans="1:23" x14ac:dyDescent="0.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9"/>
      <c r="L163" s="54"/>
      <c r="M163" s="54"/>
      <c r="N163" s="56"/>
      <c r="O163" s="54"/>
      <c r="P163" s="54"/>
      <c r="Q163" s="60"/>
      <c r="R163" s="54"/>
      <c r="S163" s="54"/>
      <c r="T163" s="54"/>
      <c r="U163" s="54"/>
      <c r="V163" s="54"/>
      <c r="W163" s="1" t="s">
        <v>386</v>
      </c>
    </row>
    <row r="164" spans="1:23" x14ac:dyDescent="0.3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9"/>
      <c r="L164" s="54"/>
      <c r="M164" s="54"/>
      <c r="N164" s="56"/>
      <c r="O164" s="54"/>
      <c r="P164" s="54"/>
      <c r="Q164" s="60"/>
      <c r="R164" s="54"/>
      <c r="S164" s="54"/>
      <c r="T164" s="54"/>
      <c r="U164" s="54"/>
      <c r="V164" s="54"/>
      <c r="W164" s="1" t="s">
        <v>387</v>
      </c>
    </row>
    <row r="165" spans="1:23" x14ac:dyDescent="0.3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9"/>
      <c r="L165" s="54"/>
      <c r="M165" s="54"/>
      <c r="N165" s="56"/>
      <c r="O165" s="54"/>
      <c r="P165" s="54"/>
      <c r="Q165" s="60"/>
      <c r="R165" s="54"/>
      <c r="S165" s="54"/>
      <c r="T165" s="54"/>
      <c r="U165" s="54"/>
      <c r="V165" s="54"/>
      <c r="W165" s="1" t="s">
        <v>388</v>
      </c>
    </row>
    <row r="166" spans="1:23" x14ac:dyDescent="0.3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9"/>
      <c r="L166" s="54"/>
      <c r="M166" s="54"/>
      <c r="N166" s="56"/>
      <c r="O166" s="54"/>
      <c r="P166" s="54"/>
      <c r="Q166" s="60"/>
      <c r="R166" s="54"/>
      <c r="S166" s="54"/>
      <c r="T166" s="54"/>
      <c r="U166" s="54"/>
      <c r="V166" s="54"/>
      <c r="W166" s="1" t="s">
        <v>389</v>
      </c>
    </row>
    <row r="167" spans="1:23" x14ac:dyDescent="0.3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9"/>
      <c r="L167" s="54"/>
      <c r="M167" s="54"/>
      <c r="N167" s="56"/>
      <c r="O167" s="54"/>
      <c r="P167" s="54"/>
      <c r="Q167" s="60"/>
      <c r="R167" s="54"/>
      <c r="S167" s="54"/>
      <c r="T167" s="54"/>
      <c r="U167" s="54"/>
      <c r="V167" s="54"/>
      <c r="W167" s="1" t="s">
        <v>390</v>
      </c>
    </row>
    <row r="168" spans="1:23" x14ac:dyDescent="0.3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9"/>
      <c r="L168" s="54"/>
      <c r="M168" s="54"/>
      <c r="N168" s="56"/>
      <c r="O168" s="54"/>
      <c r="P168" s="54"/>
      <c r="Q168" s="60"/>
      <c r="R168" s="54"/>
      <c r="S168" s="54"/>
      <c r="T168" s="54"/>
      <c r="U168" s="54"/>
      <c r="V168" s="54"/>
      <c r="W168" s="1" t="s">
        <v>391</v>
      </c>
    </row>
    <row r="169" spans="1:23" x14ac:dyDescent="0.3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9"/>
      <c r="L169" s="54"/>
      <c r="M169" s="54"/>
      <c r="N169" s="56"/>
      <c r="O169" s="54"/>
      <c r="P169" s="54"/>
      <c r="Q169" s="60"/>
      <c r="R169" s="54"/>
      <c r="S169" s="54"/>
      <c r="T169" s="54"/>
      <c r="U169" s="54"/>
      <c r="V169" s="54"/>
      <c r="W169" s="1" t="s">
        <v>392</v>
      </c>
    </row>
    <row r="170" spans="1:23" x14ac:dyDescent="0.3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9"/>
      <c r="L170" s="54"/>
      <c r="M170" s="54"/>
      <c r="N170" s="56"/>
      <c r="O170" s="54"/>
      <c r="P170" s="54"/>
      <c r="Q170" s="60"/>
      <c r="R170" s="54"/>
      <c r="S170" s="54"/>
      <c r="T170" s="54"/>
      <c r="U170" s="54"/>
      <c r="V170" s="54"/>
      <c r="W170" s="1" t="s">
        <v>393</v>
      </c>
    </row>
    <row r="171" spans="1:23" x14ac:dyDescent="0.3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9"/>
      <c r="L171" s="54"/>
      <c r="M171" s="54"/>
      <c r="N171" s="56"/>
      <c r="O171" s="54"/>
      <c r="P171" s="54"/>
      <c r="Q171" s="60"/>
      <c r="R171" s="54"/>
      <c r="S171" s="54"/>
      <c r="T171" s="54"/>
      <c r="U171" s="54"/>
      <c r="V171" s="54"/>
      <c r="W171" s="1" t="s">
        <v>394</v>
      </c>
    </row>
    <row r="172" spans="1:23" x14ac:dyDescent="0.3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9"/>
      <c r="L172" s="54"/>
      <c r="M172" s="54"/>
      <c r="N172" s="56"/>
      <c r="O172" s="54"/>
      <c r="P172" s="54"/>
      <c r="Q172" s="60"/>
      <c r="R172" s="54"/>
      <c r="S172" s="54"/>
      <c r="T172" s="54"/>
      <c r="U172" s="54"/>
      <c r="V172" s="54"/>
      <c r="W172" s="1" t="s">
        <v>395</v>
      </c>
    </row>
    <row r="173" spans="1:23" x14ac:dyDescent="0.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9"/>
      <c r="L173" s="54"/>
      <c r="M173" s="54"/>
      <c r="N173" s="56"/>
      <c r="O173" s="54"/>
      <c r="P173" s="54"/>
      <c r="Q173" s="60"/>
      <c r="R173" s="54"/>
      <c r="S173" s="54"/>
      <c r="T173" s="54"/>
      <c r="U173" s="54"/>
      <c r="V173" s="54"/>
      <c r="W173" s="1" t="s">
        <v>396</v>
      </c>
    </row>
    <row r="174" spans="1:23" x14ac:dyDescent="0.3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9"/>
      <c r="L174" s="54"/>
      <c r="M174" s="54"/>
      <c r="N174" s="56"/>
      <c r="O174" s="54"/>
      <c r="P174" s="54"/>
      <c r="Q174" s="60"/>
      <c r="R174" s="54"/>
      <c r="S174" s="54"/>
      <c r="T174" s="54"/>
      <c r="U174" s="54"/>
      <c r="V174" s="54"/>
      <c r="W174" s="1" t="s">
        <v>397</v>
      </c>
    </row>
    <row r="175" spans="1:23" x14ac:dyDescent="0.3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9"/>
      <c r="L175" s="54"/>
      <c r="M175" s="54"/>
      <c r="N175" s="56"/>
      <c r="O175" s="54"/>
      <c r="P175" s="54"/>
      <c r="Q175" s="60"/>
      <c r="R175" s="54"/>
      <c r="S175" s="54"/>
      <c r="T175" s="54"/>
      <c r="U175" s="54"/>
      <c r="V175" s="54"/>
      <c r="W175" s="1" t="s">
        <v>398</v>
      </c>
    </row>
    <row r="176" spans="1:23" x14ac:dyDescent="0.3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9"/>
      <c r="L176" s="54"/>
      <c r="M176" s="54"/>
      <c r="N176" s="56"/>
      <c r="O176" s="54"/>
      <c r="P176" s="54"/>
      <c r="Q176" s="60"/>
      <c r="R176" s="54"/>
      <c r="S176" s="54"/>
      <c r="T176" s="54"/>
      <c r="U176" s="54"/>
      <c r="V176" s="54"/>
      <c r="W176" s="1" t="s">
        <v>399</v>
      </c>
    </row>
    <row r="177" spans="1:23" x14ac:dyDescent="0.3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9"/>
      <c r="L177" s="54"/>
      <c r="M177" s="54"/>
      <c r="N177" s="56"/>
      <c r="O177" s="54"/>
      <c r="P177" s="54"/>
      <c r="Q177" s="60"/>
      <c r="R177" s="54"/>
      <c r="S177" s="54"/>
      <c r="T177" s="54"/>
      <c r="U177" s="54"/>
      <c r="V177" s="54"/>
      <c r="W177" s="1" t="s">
        <v>400</v>
      </c>
    </row>
    <row r="178" spans="1:23" x14ac:dyDescent="0.3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9"/>
      <c r="L178" s="54"/>
      <c r="M178" s="54"/>
      <c r="N178" s="56"/>
      <c r="O178" s="54"/>
      <c r="P178" s="54"/>
      <c r="Q178" s="60"/>
      <c r="R178" s="54"/>
      <c r="S178" s="54"/>
      <c r="T178" s="54"/>
      <c r="U178" s="54"/>
      <c r="V178" s="54"/>
      <c r="W178" s="1" t="s">
        <v>401</v>
      </c>
    </row>
    <row r="179" spans="1:23" x14ac:dyDescent="0.3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9"/>
      <c r="L179" s="54"/>
      <c r="M179" s="54"/>
      <c r="N179" s="56"/>
      <c r="O179" s="54"/>
      <c r="P179" s="54"/>
      <c r="Q179" s="60"/>
      <c r="R179" s="54"/>
      <c r="S179" s="54"/>
      <c r="T179" s="54"/>
      <c r="U179" s="54"/>
      <c r="V179" s="54"/>
      <c r="W179" s="1" t="s">
        <v>402</v>
      </c>
    </row>
    <row r="180" spans="1:23" x14ac:dyDescent="0.3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9"/>
      <c r="L180" s="54"/>
      <c r="M180" s="54"/>
      <c r="N180" s="56"/>
      <c r="O180" s="54"/>
      <c r="P180" s="54"/>
      <c r="Q180" s="60"/>
      <c r="R180" s="54"/>
      <c r="S180" s="54"/>
      <c r="T180" s="54"/>
      <c r="U180" s="54"/>
      <c r="V180" s="54"/>
      <c r="W180" s="1" t="s">
        <v>403</v>
      </c>
    </row>
    <row r="181" spans="1:23" x14ac:dyDescent="0.3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9"/>
      <c r="L181" s="54"/>
      <c r="M181" s="54"/>
      <c r="N181" s="56"/>
      <c r="O181" s="54"/>
      <c r="P181" s="54"/>
      <c r="Q181" s="60"/>
      <c r="R181" s="54"/>
      <c r="S181" s="54"/>
      <c r="T181" s="54"/>
      <c r="U181" s="54"/>
      <c r="V181" s="54"/>
      <c r="W181" s="1" t="s">
        <v>404</v>
      </c>
    </row>
    <row r="182" spans="1:23" x14ac:dyDescent="0.3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9"/>
      <c r="L182" s="54"/>
      <c r="M182" s="54"/>
      <c r="N182" s="56"/>
      <c r="O182" s="54"/>
      <c r="P182" s="54"/>
      <c r="Q182" s="60"/>
      <c r="R182" s="54"/>
      <c r="S182" s="54"/>
      <c r="T182" s="54"/>
      <c r="U182" s="54"/>
      <c r="V182" s="54"/>
      <c r="W182" s="1" t="s">
        <v>405</v>
      </c>
    </row>
    <row r="183" spans="1:23" x14ac:dyDescent="0.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9"/>
      <c r="L183" s="54"/>
      <c r="M183" s="54"/>
      <c r="N183" s="56"/>
      <c r="O183" s="54"/>
      <c r="P183" s="54"/>
      <c r="Q183" s="60"/>
      <c r="R183" s="54"/>
      <c r="S183" s="54"/>
      <c r="T183" s="54"/>
      <c r="U183" s="54"/>
      <c r="V183" s="54"/>
      <c r="W183" s="1" t="s">
        <v>406</v>
      </c>
    </row>
    <row r="184" spans="1:23" x14ac:dyDescent="0.3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9"/>
      <c r="L184" s="54"/>
      <c r="M184" s="54"/>
      <c r="N184" s="56"/>
      <c r="O184" s="54"/>
      <c r="P184" s="54"/>
      <c r="Q184" s="60"/>
      <c r="R184" s="54"/>
      <c r="S184" s="54"/>
      <c r="T184" s="54"/>
      <c r="U184" s="54"/>
      <c r="V184" s="54"/>
      <c r="W184" s="1" t="s">
        <v>407</v>
      </c>
    </row>
    <row r="185" spans="1:23" x14ac:dyDescent="0.3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9"/>
      <c r="L185" s="54"/>
      <c r="M185" s="54"/>
      <c r="N185" s="56"/>
      <c r="O185" s="54"/>
      <c r="P185" s="54"/>
      <c r="Q185" s="60"/>
      <c r="R185" s="54"/>
      <c r="S185" s="54"/>
      <c r="T185" s="54"/>
      <c r="U185" s="54"/>
      <c r="V185" s="54"/>
      <c r="W185" s="1" t="s">
        <v>408</v>
      </c>
    </row>
    <row r="186" spans="1:23" ht="28.8" x14ac:dyDescent="0.3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9"/>
      <c r="L186" s="54"/>
      <c r="M186" s="54"/>
      <c r="N186" s="56"/>
      <c r="O186" s="54"/>
      <c r="P186" s="54"/>
      <c r="Q186" s="60"/>
      <c r="R186" s="54"/>
      <c r="S186" s="54"/>
      <c r="T186" s="54"/>
      <c r="U186" s="54"/>
      <c r="V186" s="54"/>
      <c r="W186" s="1" t="s">
        <v>409</v>
      </c>
    </row>
    <row r="187" spans="1:23" x14ac:dyDescent="0.3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9"/>
      <c r="L187" s="54"/>
      <c r="M187" s="54"/>
      <c r="N187" s="56"/>
      <c r="O187" s="54"/>
      <c r="P187" s="54"/>
      <c r="Q187" s="60"/>
      <c r="R187" s="54"/>
      <c r="S187" s="54"/>
      <c r="T187" s="54"/>
      <c r="U187" s="54"/>
      <c r="V187" s="54"/>
      <c r="W187" s="1" t="s">
        <v>410</v>
      </c>
    </row>
    <row r="188" spans="1:23" x14ac:dyDescent="0.3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9"/>
      <c r="L188" s="54"/>
      <c r="M188" s="54"/>
      <c r="N188" s="56"/>
      <c r="O188" s="54"/>
      <c r="P188" s="54"/>
      <c r="Q188" s="60"/>
      <c r="R188" s="54"/>
      <c r="S188" s="54"/>
      <c r="T188" s="54"/>
      <c r="U188" s="54"/>
      <c r="V188" s="54"/>
      <c r="W188" s="1" t="s">
        <v>411</v>
      </c>
    </row>
    <row r="189" spans="1:23" x14ac:dyDescent="0.3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9"/>
      <c r="L189" s="54"/>
      <c r="M189" s="54"/>
      <c r="N189" s="56"/>
      <c r="O189" s="54"/>
      <c r="P189" s="54"/>
      <c r="Q189" s="60"/>
      <c r="R189" s="54"/>
      <c r="S189" s="54"/>
      <c r="T189" s="54"/>
      <c r="U189" s="54"/>
      <c r="V189" s="54"/>
      <c r="W189" s="1" t="s">
        <v>412</v>
      </c>
    </row>
    <row r="190" spans="1:23" x14ac:dyDescent="0.3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9"/>
      <c r="L190" s="54"/>
      <c r="M190" s="54"/>
      <c r="N190" s="56"/>
      <c r="O190" s="54"/>
      <c r="P190" s="54"/>
      <c r="Q190" s="60"/>
      <c r="R190" s="54"/>
      <c r="S190" s="54"/>
      <c r="T190" s="54"/>
      <c r="U190" s="54"/>
      <c r="V190" s="54"/>
      <c r="W190" s="1" t="s">
        <v>413</v>
      </c>
    </row>
    <row r="191" spans="1:23" x14ac:dyDescent="0.3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9"/>
      <c r="L191" s="54"/>
      <c r="M191" s="54"/>
      <c r="N191" s="56"/>
      <c r="O191" s="54"/>
      <c r="P191" s="54"/>
      <c r="Q191" s="60"/>
      <c r="R191" s="54"/>
      <c r="S191" s="54"/>
      <c r="T191" s="54"/>
      <c r="U191" s="54"/>
      <c r="V191" s="54"/>
      <c r="W191" s="1" t="s">
        <v>414</v>
      </c>
    </row>
    <row r="192" spans="1:23" x14ac:dyDescent="0.3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9"/>
      <c r="L192" s="54"/>
      <c r="M192" s="54"/>
      <c r="N192" s="56"/>
      <c r="O192" s="54"/>
      <c r="P192" s="54"/>
      <c r="Q192" s="60"/>
      <c r="R192" s="54"/>
      <c r="S192" s="54"/>
      <c r="T192" s="54"/>
      <c r="U192" s="54"/>
      <c r="V192" s="54"/>
      <c r="W192" s="1" t="s">
        <v>415</v>
      </c>
    </row>
    <row r="193" spans="1:23" x14ac:dyDescent="0.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9"/>
      <c r="L193" s="54"/>
      <c r="M193" s="54"/>
      <c r="N193" s="56"/>
      <c r="O193" s="54"/>
      <c r="P193" s="54"/>
      <c r="Q193" s="60"/>
      <c r="R193" s="54"/>
      <c r="S193" s="54"/>
      <c r="T193" s="54"/>
      <c r="U193" s="54"/>
      <c r="V193" s="54"/>
      <c r="W193" s="1" t="s">
        <v>416</v>
      </c>
    </row>
    <row r="194" spans="1:23" x14ac:dyDescent="0.3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9"/>
      <c r="L194" s="54"/>
      <c r="M194" s="54"/>
      <c r="N194" s="56"/>
      <c r="O194" s="54"/>
      <c r="P194" s="54"/>
      <c r="Q194" s="60"/>
      <c r="R194" s="54"/>
      <c r="S194" s="54"/>
      <c r="T194" s="54"/>
      <c r="U194" s="54"/>
      <c r="V194" s="54"/>
      <c r="W194" s="1" t="s">
        <v>417</v>
      </c>
    </row>
  </sheetData>
  <pageMargins left="0.7" right="0.7" top="0.75" bottom="0.75" header="0.3" footer="0.3"/>
  <pageSetup orientation="portrait" r:id="rId6"/>
  <drawing r:id="rId7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462C-1C09-49F4-96A8-7595A411C63E}">
  <dimension ref="A1:J55"/>
  <sheetViews>
    <sheetView zoomScale="85" zoomScaleNormal="85" workbookViewId="0">
      <selection activeCell="B3" sqref="B3"/>
    </sheetView>
  </sheetViews>
  <sheetFormatPr defaultColWidth="8.77734375" defaultRowHeight="14.4" x14ac:dyDescent="0.3"/>
  <cols>
    <col min="1" max="1" width="41.77734375" style="22" customWidth="1"/>
    <col min="2" max="2" width="7.109375" style="22" bestFit="1" customWidth="1"/>
    <col min="3" max="3" width="4.77734375" style="22" bestFit="1" customWidth="1"/>
    <col min="4" max="6" width="21.5546875" style="22" customWidth="1"/>
    <col min="7" max="7" width="8.6640625" style="22" bestFit="1" customWidth="1"/>
    <col min="8" max="8" width="8.33203125" style="22" bestFit="1" customWidth="1"/>
    <col min="9" max="9" width="10" style="22" bestFit="1" customWidth="1"/>
    <col min="10" max="10" width="18.77734375" style="22" bestFit="1" customWidth="1"/>
    <col min="11" max="16384" width="8.77734375" style="22"/>
  </cols>
  <sheetData>
    <row r="1" spans="1:10" ht="31.2" x14ac:dyDescent="0.3">
      <c r="A1" s="24" t="s">
        <v>2</v>
      </c>
      <c r="B1" s="24" t="s">
        <v>0</v>
      </c>
      <c r="C1" s="24" t="s">
        <v>1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</row>
    <row r="2" spans="1:10" x14ac:dyDescent="0.3">
      <c r="A2" s="23" t="s">
        <v>30</v>
      </c>
      <c r="B2" s="23">
        <v>1</v>
      </c>
      <c r="C2" s="23">
        <v>1629</v>
      </c>
      <c r="D2" s="23" t="s">
        <v>11</v>
      </c>
      <c r="E2" s="23" t="s">
        <v>11</v>
      </c>
      <c r="F2" s="23" t="s">
        <v>11</v>
      </c>
      <c r="G2" s="23" t="s">
        <v>14</v>
      </c>
      <c r="H2" s="23">
        <v>9.3390799999999992</v>
      </c>
      <c r="I2" s="23">
        <v>-82.239630000000005</v>
      </c>
      <c r="J2" s="23"/>
    </row>
    <row r="3" spans="1:10" x14ac:dyDescent="0.3">
      <c r="A3" s="23" t="s">
        <v>32</v>
      </c>
      <c r="B3" s="23">
        <v>1</v>
      </c>
      <c r="C3" s="23">
        <v>13</v>
      </c>
      <c r="D3" s="23" t="s">
        <v>11</v>
      </c>
      <c r="E3" s="23" t="s">
        <v>33</v>
      </c>
      <c r="F3" s="23" t="s">
        <v>33</v>
      </c>
      <c r="G3" s="23" t="s">
        <v>14</v>
      </c>
      <c r="H3" s="23">
        <v>9.4372150000000001</v>
      </c>
      <c r="I3" s="23">
        <v>-82.519311000000002</v>
      </c>
      <c r="J3" s="23" t="s">
        <v>15</v>
      </c>
    </row>
    <row r="4" spans="1:10" x14ac:dyDescent="0.3">
      <c r="A4" s="23" t="s">
        <v>28</v>
      </c>
      <c r="B4" s="23">
        <v>1</v>
      </c>
      <c r="C4" s="23">
        <v>1369</v>
      </c>
      <c r="D4" s="23" t="s">
        <v>11</v>
      </c>
      <c r="E4" s="23" t="s">
        <v>11</v>
      </c>
      <c r="F4" s="23" t="s">
        <v>11</v>
      </c>
      <c r="G4" s="23" t="s">
        <v>14</v>
      </c>
      <c r="H4" s="23">
        <v>9.2030419999999999</v>
      </c>
      <c r="I4" s="23">
        <v>-82.142238000000006</v>
      </c>
      <c r="J4" s="23" t="s">
        <v>29</v>
      </c>
    </row>
    <row r="5" spans="1:10" x14ac:dyDescent="0.3">
      <c r="A5" s="23" t="s">
        <v>81</v>
      </c>
      <c r="B5" s="23">
        <v>1</v>
      </c>
      <c r="C5" s="23">
        <v>51</v>
      </c>
      <c r="D5" s="23" t="s">
        <v>11</v>
      </c>
      <c r="E5" s="23" t="s">
        <v>82</v>
      </c>
      <c r="F5" s="23" t="s">
        <v>82</v>
      </c>
      <c r="G5" s="23" t="s">
        <v>14</v>
      </c>
      <c r="H5" s="23">
        <v>8.9455220000000004</v>
      </c>
      <c r="I5" s="23">
        <v>-82.115149000000002</v>
      </c>
      <c r="J5" s="23" t="s">
        <v>71</v>
      </c>
    </row>
    <row r="6" spans="1:10" x14ac:dyDescent="0.3">
      <c r="A6" s="23" t="s">
        <v>53</v>
      </c>
      <c r="B6" s="23">
        <v>1</v>
      </c>
      <c r="C6" s="23">
        <v>33</v>
      </c>
      <c r="D6" s="23" t="s">
        <v>11</v>
      </c>
      <c r="E6" s="23" t="s">
        <v>33</v>
      </c>
      <c r="F6" s="23" t="s">
        <v>54</v>
      </c>
      <c r="G6" s="23" t="s">
        <v>14</v>
      </c>
      <c r="H6" s="23">
        <v>9.4058150000000005</v>
      </c>
      <c r="I6" s="23">
        <v>-82.501580000000004</v>
      </c>
      <c r="J6" s="23" t="s">
        <v>35</v>
      </c>
    </row>
    <row r="7" spans="1:10" x14ac:dyDescent="0.3">
      <c r="A7" s="23" t="s">
        <v>45</v>
      </c>
      <c r="B7" s="23">
        <v>1</v>
      </c>
      <c r="C7" s="23">
        <v>27</v>
      </c>
      <c r="D7" s="23" t="s">
        <v>11</v>
      </c>
      <c r="E7" s="23" t="s">
        <v>33</v>
      </c>
      <c r="F7" s="23" t="s">
        <v>33</v>
      </c>
      <c r="G7" s="23" t="s">
        <v>38</v>
      </c>
      <c r="H7" s="23">
        <v>9.4270239999999994</v>
      </c>
      <c r="I7" s="23">
        <v>-82.555803999999995</v>
      </c>
      <c r="J7" s="23" t="s">
        <v>35</v>
      </c>
    </row>
    <row r="8" spans="1:10" x14ac:dyDescent="0.3">
      <c r="A8" s="23" t="s">
        <v>46</v>
      </c>
      <c r="B8" s="23">
        <v>1</v>
      </c>
      <c r="C8" s="23">
        <v>28</v>
      </c>
      <c r="D8" s="23" t="s">
        <v>11</v>
      </c>
      <c r="E8" s="23" t="s">
        <v>33</v>
      </c>
      <c r="F8" s="23" t="s">
        <v>33</v>
      </c>
      <c r="G8" s="23" t="s">
        <v>47</v>
      </c>
      <c r="H8" s="23">
        <v>9.4372679999999995</v>
      </c>
      <c r="I8" s="23">
        <v>-82.497184000000004</v>
      </c>
      <c r="J8" s="23" t="s">
        <v>39</v>
      </c>
    </row>
    <row r="9" spans="1:10" x14ac:dyDescent="0.3">
      <c r="A9" s="23" t="s">
        <v>65</v>
      </c>
      <c r="B9" s="23">
        <v>1</v>
      </c>
      <c r="C9" s="23">
        <v>42</v>
      </c>
      <c r="D9" s="23" t="s">
        <v>11</v>
      </c>
      <c r="E9" s="23" t="s">
        <v>33</v>
      </c>
      <c r="F9" s="23" t="s">
        <v>66</v>
      </c>
      <c r="G9" s="23" t="s">
        <v>14</v>
      </c>
      <c r="H9" s="23">
        <v>9.4920229999999997</v>
      </c>
      <c r="I9" s="23">
        <v>-82.611637999999999</v>
      </c>
      <c r="J9" s="23" t="s">
        <v>42</v>
      </c>
    </row>
    <row r="10" spans="1:10" x14ac:dyDescent="0.3">
      <c r="A10" s="23" t="s">
        <v>85</v>
      </c>
      <c r="B10" s="23">
        <v>1</v>
      </c>
      <c r="C10" s="23">
        <v>55</v>
      </c>
      <c r="D10" s="23" t="s">
        <v>11</v>
      </c>
      <c r="E10" s="23" t="s">
        <v>82</v>
      </c>
      <c r="F10" s="23" t="s">
        <v>86</v>
      </c>
      <c r="G10" s="23" t="s">
        <v>14</v>
      </c>
      <c r="H10" s="23">
        <v>8.9135159999999996</v>
      </c>
      <c r="I10" s="23">
        <v>-82.186711000000003</v>
      </c>
      <c r="J10" s="23" t="s">
        <v>17</v>
      </c>
    </row>
    <row r="11" spans="1:10" x14ac:dyDescent="0.3">
      <c r="A11" s="23" t="s">
        <v>76</v>
      </c>
      <c r="B11" s="23">
        <v>1</v>
      </c>
      <c r="C11" s="23">
        <v>1380</v>
      </c>
      <c r="D11" s="23" t="s">
        <v>11</v>
      </c>
      <c r="E11" s="23" t="s">
        <v>33</v>
      </c>
      <c r="F11" s="23" t="s">
        <v>77</v>
      </c>
      <c r="G11" s="23" t="s">
        <v>14</v>
      </c>
      <c r="H11" s="23">
        <v>9.5431609999999996</v>
      </c>
      <c r="I11" s="23">
        <v>-82.739405000000005</v>
      </c>
      <c r="J11" s="23" t="s">
        <v>60</v>
      </c>
    </row>
    <row r="12" spans="1:10" x14ac:dyDescent="0.3">
      <c r="A12" s="23" t="s">
        <v>10</v>
      </c>
      <c r="B12" s="23">
        <v>1</v>
      </c>
      <c r="C12" s="23">
        <v>6</v>
      </c>
      <c r="D12" s="23" t="s">
        <v>11</v>
      </c>
      <c r="E12" s="23" t="s">
        <v>12</v>
      </c>
      <c r="F12" s="23" t="s">
        <v>13</v>
      </c>
      <c r="G12" s="23" t="s">
        <v>14</v>
      </c>
      <c r="H12" s="23">
        <v>9.2997409999999991</v>
      </c>
      <c r="I12" s="23">
        <v>-82.413301000000004</v>
      </c>
      <c r="J12" s="23" t="s">
        <v>15</v>
      </c>
    </row>
    <row r="13" spans="1:10" x14ac:dyDescent="0.3">
      <c r="A13" s="23" t="s">
        <v>24</v>
      </c>
      <c r="B13" s="23">
        <v>1</v>
      </c>
      <c r="C13" s="23">
        <v>1</v>
      </c>
      <c r="D13" s="23" t="s">
        <v>11</v>
      </c>
      <c r="E13" s="23" t="s">
        <v>11</v>
      </c>
      <c r="F13" s="23" t="s">
        <v>11</v>
      </c>
      <c r="G13" s="23" t="s">
        <v>14</v>
      </c>
      <c r="H13" s="23">
        <v>9.3406540000000007</v>
      </c>
      <c r="I13" s="23">
        <v>-82.242498999999995</v>
      </c>
      <c r="J13" s="23" t="s">
        <v>25</v>
      </c>
    </row>
    <row r="14" spans="1:10" x14ac:dyDescent="0.3">
      <c r="A14" s="23" t="s">
        <v>67</v>
      </c>
      <c r="B14" s="23">
        <v>1</v>
      </c>
      <c r="C14" s="23">
        <v>43</v>
      </c>
      <c r="D14" s="23" t="s">
        <v>11</v>
      </c>
      <c r="E14" s="23" t="s">
        <v>33</v>
      </c>
      <c r="F14" s="23" t="s">
        <v>66</v>
      </c>
      <c r="G14" s="23" t="s">
        <v>14</v>
      </c>
      <c r="H14" s="23">
        <v>9.4885590000000004</v>
      </c>
      <c r="I14" s="23">
        <v>-82.607680000000002</v>
      </c>
      <c r="J14" s="23" t="s">
        <v>42</v>
      </c>
    </row>
    <row r="15" spans="1:10" x14ac:dyDescent="0.3">
      <c r="A15" s="23" t="s">
        <v>55</v>
      </c>
      <c r="B15" s="23">
        <v>1</v>
      </c>
      <c r="C15" s="23">
        <v>34</v>
      </c>
      <c r="D15" s="23" t="s">
        <v>11</v>
      </c>
      <c r="E15" s="23" t="s">
        <v>33</v>
      </c>
      <c r="F15" s="23" t="s">
        <v>54</v>
      </c>
      <c r="G15" s="23" t="s">
        <v>14</v>
      </c>
      <c r="H15" s="23">
        <v>9.4208449999999999</v>
      </c>
      <c r="I15" s="23">
        <v>-82.520880000000005</v>
      </c>
      <c r="J15" s="23" t="s">
        <v>35</v>
      </c>
    </row>
    <row r="16" spans="1:10" x14ac:dyDescent="0.3">
      <c r="A16" s="23" t="s">
        <v>16</v>
      </c>
      <c r="B16" s="23">
        <v>1</v>
      </c>
      <c r="C16" s="23">
        <v>7</v>
      </c>
      <c r="D16" s="23" t="s">
        <v>11</v>
      </c>
      <c r="E16" s="23" t="s">
        <v>12</v>
      </c>
      <c r="F16" s="23" t="s">
        <v>13</v>
      </c>
      <c r="G16" s="23" t="s">
        <v>14</v>
      </c>
      <c r="H16" s="23">
        <v>9.2927149999999994</v>
      </c>
      <c r="I16" s="23">
        <v>-82.394886999999997</v>
      </c>
      <c r="J16" s="23" t="s">
        <v>17</v>
      </c>
    </row>
    <row r="17" spans="1:10" x14ac:dyDescent="0.3">
      <c r="A17" s="23" t="s">
        <v>18</v>
      </c>
      <c r="B17" s="23">
        <v>1</v>
      </c>
      <c r="C17" s="23">
        <v>8</v>
      </c>
      <c r="D17" s="23" t="s">
        <v>11</v>
      </c>
      <c r="E17" s="23" t="s">
        <v>12</v>
      </c>
      <c r="F17" s="23" t="s">
        <v>13</v>
      </c>
      <c r="G17" s="23" t="s">
        <v>14</v>
      </c>
      <c r="H17" s="23">
        <v>8.2426759999999994</v>
      </c>
      <c r="I17" s="23">
        <v>-81.670066000000006</v>
      </c>
      <c r="J17" s="23" t="s">
        <v>19</v>
      </c>
    </row>
    <row r="18" spans="1:10" x14ac:dyDescent="0.3">
      <c r="A18" s="23" t="s">
        <v>20</v>
      </c>
      <c r="B18" s="23">
        <v>1</v>
      </c>
      <c r="C18" s="23">
        <v>9</v>
      </c>
      <c r="D18" s="23" t="s">
        <v>11</v>
      </c>
      <c r="E18" s="23" t="s">
        <v>12</v>
      </c>
      <c r="F18" s="23" t="s">
        <v>13</v>
      </c>
      <c r="G18" s="23" t="s">
        <v>14</v>
      </c>
      <c r="H18" s="23">
        <v>9.2950900000000001</v>
      </c>
      <c r="I18" s="23">
        <v>-82.404894999999996</v>
      </c>
      <c r="J18" s="23" t="s">
        <v>21</v>
      </c>
    </row>
    <row r="19" spans="1:10" x14ac:dyDescent="0.3">
      <c r="A19" s="23" t="s">
        <v>87</v>
      </c>
      <c r="B19" s="23">
        <v>1</v>
      </c>
      <c r="C19" s="23">
        <v>56</v>
      </c>
      <c r="D19" s="23" t="s">
        <v>11</v>
      </c>
      <c r="E19" s="23" t="s">
        <v>82</v>
      </c>
      <c r="F19" s="23" t="s">
        <v>86</v>
      </c>
      <c r="G19" s="23" t="s">
        <v>14</v>
      </c>
      <c r="H19" s="23">
        <v>8.8079059999999991</v>
      </c>
      <c r="I19" s="23">
        <v>-82.184109000000007</v>
      </c>
      <c r="J19" s="23" t="s">
        <v>19</v>
      </c>
    </row>
    <row r="20" spans="1:10" x14ac:dyDescent="0.3">
      <c r="A20" s="23" t="s">
        <v>56</v>
      </c>
      <c r="B20" s="23">
        <v>1</v>
      </c>
      <c r="C20" s="23">
        <v>35</v>
      </c>
      <c r="D20" s="23" t="s">
        <v>11</v>
      </c>
      <c r="E20" s="23" t="s">
        <v>33</v>
      </c>
      <c r="F20" s="23" t="s">
        <v>54</v>
      </c>
      <c r="G20" s="23" t="s">
        <v>14</v>
      </c>
      <c r="H20" s="23">
        <v>9.4200789999999994</v>
      </c>
      <c r="I20" s="23">
        <v>-82.520909000000003</v>
      </c>
      <c r="J20" s="23" t="s">
        <v>21</v>
      </c>
    </row>
    <row r="21" spans="1:10" x14ac:dyDescent="0.3">
      <c r="A21" s="23" t="s">
        <v>57</v>
      </c>
      <c r="B21" s="23">
        <v>1</v>
      </c>
      <c r="C21" s="23">
        <v>36</v>
      </c>
      <c r="D21" s="23" t="s">
        <v>11</v>
      </c>
      <c r="E21" s="23" t="s">
        <v>33</v>
      </c>
      <c r="F21" s="23" t="s">
        <v>54</v>
      </c>
      <c r="G21" s="23" t="s">
        <v>14</v>
      </c>
      <c r="H21" s="23">
        <v>9.3885550000000002</v>
      </c>
      <c r="I21" s="23">
        <v>-82.531266000000002</v>
      </c>
      <c r="J21" s="23" t="s">
        <v>35</v>
      </c>
    </row>
    <row r="22" spans="1:10" x14ac:dyDescent="0.3">
      <c r="A22" s="23" t="s">
        <v>58</v>
      </c>
      <c r="B22" s="23">
        <v>1</v>
      </c>
      <c r="C22" s="23">
        <v>37</v>
      </c>
      <c r="D22" s="23" t="s">
        <v>11</v>
      </c>
      <c r="E22" s="23" t="s">
        <v>33</v>
      </c>
      <c r="F22" s="23" t="s">
        <v>54</v>
      </c>
      <c r="G22" s="23" t="s">
        <v>59</v>
      </c>
      <c r="H22" s="23">
        <v>9.4246429999999997</v>
      </c>
      <c r="I22" s="23">
        <v>-82.471710999999999</v>
      </c>
      <c r="J22" s="23" t="s">
        <v>60</v>
      </c>
    </row>
    <row r="23" spans="1:10" x14ac:dyDescent="0.3">
      <c r="A23" s="23" t="s">
        <v>34</v>
      </c>
      <c r="B23" s="23">
        <v>1</v>
      </c>
      <c r="C23" s="23">
        <v>17</v>
      </c>
      <c r="D23" s="23" t="s">
        <v>11</v>
      </c>
      <c r="E23" s="23" t="s">
        <v>33</v>
      </c>
      <c r="F23" s="23" t="s">
        <v>33</v>
      </c>
      <c r="G23" s="23" t="s">
        <v>14</v>
      </c>
      <c r="H23" s="23">
        <v>9.4711029999999994</v>
      </c>
      <c r="I23" s="23">
        <v>-82.513953999999998</v>
      </c>
      <c r="J23" s="23" t="s">
        <v>35</v>
      </c>
    </row>
    <row r="24" spans="1:10" x14ac:dyDescent="0.3">
      <c r="A24" s="23" t="s">
        <v>68</v>
      </c>
      <c r="B24" s="23">
        <v>1</v>
      </c>
      <c r="C24" s="23">
        <v>44</v>
      </c>
      <c r="D24" s="23" t="s">
        <v>11</v>
      </c>
      <c r="E24" s="23" t="s">
        <v>33</v>
      </c>
      <c r="F24" s="23" t="s">
        <v>66</v>
      </c>
      <c r="G24" s="23" t="s">
        <v>14</v>
      </c>
      <c r="H24" s="23">
        <v>9.491225</v>
      </c>
      <c r="I24" s="23">
        <v>-82.624135999999993</v>
      </c>
      <c r="J24" s="23" t="s">
        <v>42</v>
      </c>
    </row>
    <row r="25" spans="1:10" x14ac:dyDescent="0.3">
      <c r="A25" s="23" t="s">
        <v>48</v>
      </c>
      <c r="B25" s="23">
        <v>1</v>
      </c>
      <c r="C25" s="23">
        <v>29</v>
      </c>
      <c r="D25" s="23" t="s">
        <v>11</v>
      </c>
      <c r="E25" s="23" t="s">
        <v>33</v>
      </c>
      <c r="F25" s="23" t="s">
        <v>33</v>
      </c>
      <c r="G25" s="23" t="s">
        <v>14</v>
      </c>
      <c r="H25" s="23">
        <v>9.474736</v>
      </c>
      <c r="I25" s="23">
        <v>-82.499968999999993</v>
      </c>
      <c r="J25" s="23" t="s">
        <v>39</v>
      </c>
    </row>
    <row r="26" spans="1:10" x14ac:dyDescent="0.3">
      <c r="A26" s="23" t="s">
        <v>49</v>
      </c>
      <c r="B26" s="23">
        <v>1</v>
      </c>
      <c r="C26" s="23">
        <v>30</v>
      </c>
      <c r="D26" s="23" t="s">
        <v>11</v>
      </c>
      <c r="E26" s="23" t="s">
        <v>33</v>
      </c>
      <c r="F26" s="23" t="s">
        <v>33</v>
      </c>
      <c r="G26" s="23" t="s">
        <v>14</v>
      </c>
      <c r="H26" s="23">
        <v>9.474577</v>
      </c>
      <c r="I26" s="23">
        <v>-82.482877999999999</v>
      </c>
      <c r="J26" s="23" t="s">
        <v>39</v>
      </c>
    </row>
    <row r="27" spans="1:10" x14ac:dyDescent="0.3">
      <c r="A27" s="23" t="s">
        <v>69</v>
      </c>
      <c r="B27" s="23">
        <v>1</v>
      </c>
      <c r="C27" s="23">
        <v>45</v>
      </c>
      <c r="D27" s="23" t="s">
        <v>11</v>
      </c>
      <c r="E27" s="23" t="s">
        <v>33</v>
      </c>
      <c r="F27" s="23" t="s">
        <v>66</v>
      </c>
      <c r="G27" s="23" t="s">
        <v>14</v>
      </c>
      <c r="H27" s="23">
        <v>9.4953570000000003</v>
      </c>
      <c r="I27" s="23">
        <v>-82.586636999999996</v>
      </c>
      <c r="J27" s="23" t="s">
        <v>42</v>
      </c>
    </row>
    <row r="28" spans="1:10" x14ac:dyDescent="0.3">
      <c r="A28" s="23" t="s">
        <v>50</v>
      </c>
      <c r="B28" s="23">
        <v>1</v>
      </c>
      <c r="C28" s="23">
        <v>31</v>
      </c>
      <c r="D28" s="23" t="s">
        <v>11</v>
      </c>
      <c r="E28" s="23" t="s">
        <v>33</v>
      </c>
      <c r="F28" s="23" t="s">
        <v>33</v>
      </c>
      <c r="G28" s="23" t="s">
        <v>14</v>
      </c>
      <c r="H28" s="23">
        <v>9.4589680000000005</v>
      </c>
      <c r="I28" s="23">
        <v>-82.496082000000001</v>
      </c>
      <c r="J28" s="23" t="s">
        <v>51</v>
      </c>
    </row>
    <row r="29" spans="1:10" x14ac:dyDescent="0.3">
      <c r="A29" s="23" t="s">
        <v>75</v>
      </c>
      <c r="B29" s="23">
        <v>1</v>
      </c>
      <c r="C29" s="23">
        <v>1366</v>
      </c>
      <c r="D29" s="23" t="s">
        <v>11</v>
      </c>
      <c r="E29" s="23" t="s">
        <v>33</v>
      </c>
      <c r="F29" s="23" t="s">
        <v>33</v>
      </c>
      <c r="G29" s="23" t="s">
        <v>14</v>
      </c>
      <c r="H29" s="23">
        <v>9.4460040000000003</v>
      </c>
      <c r="I29" s="23">
        <v>-82.517251999999999</v>
      </c>
      <c r="J29" s="23" t="s">
        <v>21</v>
      </c>
    </row>
    <row r="30" spans="1:10" x14ac:dyDescent="0.3">
      <c r="A30" s="23" t="s">
        <v>52</v>
      </c>
      <c r="B30" s="23">
        <v>1</v>
      </c>
      <c r="C30" s="23">
        <v>32</v>
      </c>
      <c r="D30" s="23" t="s">
        <v>11</v>
      </c>
      <c r="E30" s="23" t="s">
        <v>33</v>
      </c>
      <c r="F30" s="23" t="s">
        <v>33</v>
      </c>
      <c r="G30" s="23" t="s">
        <v>14</v>
      </c>
      <c r="H30" s="23">
        <v>9.4379480000000004</v>
      </c>
      <c r="I30" s="23">
        <v>-82.497598999999994</v>
      </c>
      <c r="J30" s="23" t="s">
        <v>51</v>
      </c>
    </row>
    <row r="31" spans="1:10" x14ac:dyDescent="0.3">
      <c r="A31" s="23" t="s">
        <v>70</v>
      </c>
      <c r="B31" s="23">
        <v>1</v>
      </c>
      <c r="C31" s="23">
        <v>46</v>
      </c>
      <c r="D31" s="23" t="s">
        <v>11</v>
      </c>
      <c r="E31" s="23" t="s">
        <v>33</v>
      </c>
      <c r="F31" s="23" t="s">
        <v>66</v>
      </c>
      <c r="G31" s="23" t="s">
        <v>14</v>
      </c>
      <c r="H31" s="23">
        <v>9.5148010000000003</v>
      </c>
      <c r="I31" s="23">
        <v>-82.594971000000001</v>
      </c>
      <c r="J31" s="23" t="s">
        <v>71</v>
      </c>
    </row>
    <row r="32" spans="1:10" x14ac:dyDescent="0.3">
      <c r="A32" s="23" t="s">
        <v>22</v>
      </c>
      <c r="B32" s="23">
        <v>1</v>
      </c>
      <c r="C32" s="23">
        <v>10</v>
      </c>
      <c r="D32" s="23" t="s">
        <v>11</v>
      </c>
      <c r="E32" s="23" t="s">
        <v>12</v>
      </c>
      <c r="F32" s="23" t="s">
        <v>13</v>
      </c>
      <c r="G32" s="23" t="s">
        <v>14</v>
      </c>
      <c r="H32" s="23">
        <v>9.3055040000000009</v>
      </c>
      <c r="I32" s="23">
        <v>-82.437320999999997</v>
      </c>
      <c r="J32" s="23" t="s">
        <v>15</v>
      </c>
    </row>
    <row r="33" spans="1:10" x14ac:dyDescent="0.3">
      <c r="A33" s="23" t="s">
        <v>23</v>
      </c>
      <c r="B33" s="23">
        <v>1</v>
      </c>
      <c r="C33" s="23">
        <v>11</v>
      </c>
      <c r="D33" s="23" t="s">
        <v>11</v>
      </c>
      <c r="E33" s="23" t="s">
        <v>12</v>
      </c>
      <c r="F33" s="23" t="s">
        <v>13</v>
      </c>
      <c r="G33" s="23" t="s">
        <v>14</v>
      </c>
      <c r="H33" s="23">
        <v>9.2839460000000003</v>
      </c>
      <c r="I33" s="23">
        <v>-82.410793999999996</v>
      </c>
      <c r="J33" s="23" t="s">
        <v>21</v>
      </c>
    </row>
    <row r="34" spans="1:10" x14ac:dyDescent="0.3">
      <c r="A34" s="23" t="s">
        <v>72</v>
      </c>
      <c r="B34" s="23">
        <v>1</v>
      </c>
      <c r="C34" s="23">
        <v>47</v>
      </c>
      <c r="D34" s="23" t="s">
        <v>11</v>
      </c>
      <c r="E34" s="23" t="s">
        <v>33</v>
      </c>
      <c r="F34" s="23" t="s">
        <v>66</v>
      </c>
      <c r="G34" s="23" t="s">
        <v>47</v>
      </c>
      <c r="H34" s="23">
        <v>9.4817459999999993</v>
      </c>
      <c r="I34" s="23">
        <v>-82.595248999999995</v>
      </c>
      <c r="J34" s="23" t="s">
        <v>17</v>
      </c>
    </row>
    <row r="35" spans="1:10" x14ac:dyDescent="0.3">
      <c r="A35" s="23" t="s">
        <v>26</v>
      </c>
      <c r="B35" s="23">
        <v>1</v>
      </c>
      <c r="C35" s="23">
        <v>3</v>
      </c>
      <c r="D35" s="23" t="s">
        <v>11</v>
      </c>
      <c r="E35" s="23" t="s">
        <v>11</v>
      </c>
      <c r="F35" s="23" t="s">
        <v>11</v>
      </c>
      <c r="G35" s="23" t="s">
        <v>14</v>
      </c>
      <c r="H35" s="23">
        <v>9.3389380000000006</v>
      </c>
      <c r="I35" s="23">
        <v>-82.242667999999995</v>
      </c>
      <c r="J35" s="23" t="s">
        <v>25</v>
      </c>
    </row>
    <row r="36" spans="1:10" x14ac:dyDescent="0.3">
      <c r="A36" s="23" t="s">
        <v>73</v>
      </c>
      <c r="B36" s="23">
        <v>1</v>
      </c>
      <c r="C36" s="23">
        <v>48</v>
      </c>
      <c r="D36" s="23" t="s">
        <v>11</v>
      </c>
      <c r="E36" s="23" t="s">
        <v>33</v>
      </c>
      <c r="F36" s="23" t="s">
        <v>66</v>
      </c>
      <c r="G36" s="23" t="s">
        <v>14</v>
      </c>
      <c r="H36" s="23">
        <v>9.4649570000000001</v>
      </c>
      <c r="I36" s="23">
        <v>-82.549522999999994</v>
      </c>
      <c r="J36" s="23" t="s">
        <v>17</v>
      </c>
    </row>
    <row r="37" spans="1:10" x14ac:dyDescent="0.3">
      <c r="A37" s="23" t="s">
        <v>36</v>
      </c>
      <c r="B37" s="23">
        <v>1</v>
      </c>
      <c r="C37" s="23">
        <v>19</v>
      </c>
      <c r="D37" s="23" t="s">
        <v>11</v>
      </c>
      <c r="E37" s="23" t="s">
        <v>33</v>
      </c>
      <c r="F37" s="23" t="s">
        <v>33</v>
      </c>
      <c r="G37" s="23" t="s">
        <v>14</v>
      </c>
      <c r="H37" s="23">
        <v>9.4490429999999996</v>
      </c>
      <c r="I37" s="23">
        <v>-82.516495000000006</v>
      </c>
      <c r="J37" s="23" t="s">
        <v>21</v>
      </c>
    </row>
    <row r="38" spans="1:10" x14ac:dyDescent="0.3">
      <c r="A38" s="23" t="s">
        <v>90</v>
      </c>
      <c r="B38" s="23">
        <v>1</v>
      </c>
      <c r="C38" s="23">
        <v>1440</v>
      </c>
      <c r="D38" s="23" t="s">
        <v>11</v>
      </c>
      <c r="E38" s="23" t="s">
        <v>82</v>
      </c>
      <c r="F38" s="23" t="s">
        <v>89</v>
      </c>
      <c r="G38" s="23" t="s">
        <v>14</v>
      </c>
      <c r="H38" s="23">
        <v>8.9301879999999993</v>
      </c>
      <c r="I38" s="23">
        <v>-82.182191000000003</v>
      </c>
      <c r="J38" s="23" t="s">
        <v>91</v>
      </c>
    </row>
    <row r="39" spans="1:10" x14ac:dyDescent="0.3">
      <c r="A39" s="23" t="s">
        <v>31</v>
      </c>
      <c r="B39" s="23">
        <v>1</v>
      </c>
      <c r="C39" s="23">
        <v>1651</v>
      </c>
      <c r="D39" s="23" t="s">
        <v>11</v>
      </c>
      <c r="E39" s="23" t="s">
        <v>11</v>
      </c>
      <c r="F39" s="23" t="s">
        <v>11</v>
      </c>
      <c r="G39" s="23" t="s">
        <v>14</v>
      </c>
      <c r="H39" s="23">
        <v>9.3605420000000006</v>
      </c>
      <c r="I39" s="23">
        <v>-82.253090999999998</v>
      </c>
      <c r="J39" s="23"/>
    </row>
    <row r="40" spans="1:10" x14ac:dyDescent="0.3">
      <c r="A40" s="23" t="s">
        <v>83</v>
      </c>
      <c r="B40" s="23">
        <v>1</v>
      </c>
      <c r="C40" s="23">
        <v>52</v>
      </c>
      <c r="D40" s="23" t="s">
        <v>11</v>
      </c>
      <c r="E40" s="23" t="s">
        <v>82</v>
      </c>
      <c r="F40" s="23" t="s">
        <v>82</v>
      </c>
      <c r="G40" s="23" t="s">
        <v>14</v>
      </c>
      <c r="H40" s="23">
        <v>8.9180240000000008</v>
      </c>
      <c r="I40" s="23">
        <v>-82.184955000000002</v>
      </c>
      <c r="J40" s="23" t="s">
        <v>71</v>
      </c>
    </row>
    <row r="41" spans="1:10" x14ac:dyDescent="0.3">
      <c r="A41" s="23" t="s">
        <v>61</v>
      </c>
      <c r="B41" s="23">
        <v>1</v>
      </c>
      <c r="C41" s="23">
        <v>38</v>
      </c>
      <c r="D41" s="23" t="s">
        <v>11</v>
      </c>
      <c r="E41" s="23" t="s">
        <v>33</v>
      </c>
      <c r="F41" s="23" t="s">
        <v>54</v>
      </c>
      <c r="G41" s="23" t="s">
        <v>14</v>
      </c>
      <c r="H41" s="23">
        <v>9.3753630000000001</v>
      </c>
      <c r="I41" s="23">
        <v>-82.528323999999998</v>
      </c>
      <c r="J41" s="23" t="s">
        <v>35</v>
      </c>
    </row>
    <row r="42" spans="1:10" x14ac:dyDescent="0.3">
      <c r="A42" s="23" t="s">
        <v>37</v>
      </c>
      <c r="B42" s="23">
        <v>1</v>
      </c>
      <c r="C42" s="23">
        <v>20</v>
      </c>
      <c r="D42" s="23" t="s">
        <v>11</v>
      </c>
      <c r="E42" s="23" t="s">
        <v>33</v>
      </c>
      <c r="F42" s="23" t="s">
        <v>33</v>
      </c>
      <c r="G42" s="23" t="s">
        <v>38</v>
      </c>
      <c r="H42" s="23">
        <v>9.4714100000000006</v>
      </c>
      <c r="I42" s="23">
        <v>-82.515739999999994</v>
      </c>
      <c r="J42" s="23" t="s">
        <v>39</v>
      </c>
    </row>
    <row r="43" spans="1:10" x14ac:dyDescent="0.3">
      <c r="A43" s="23" t="s">
        <v>78</v>
      </c>
      <c r="B43" s="23">
        <v>1</v>
      </c>
      <c r="C43" s="23">
        <v>1582</v>
      </c>
      <c r="D43" s="23" t="s">
        <v>11</v>
      </c>
      <c r="E43" s="23" t="s">
        <v>33</v>
      </c>
      <c r="F43" s="23" t="s">
        <v>33</v>
      </c>
      <c r="G43" s="23" t="s">
        <v>47</v>
      </c>
      <c r="H43" s="23">
        <v>9.4505599999999994</v>
      </c>
      <c r="I43" s="23">
        <v>-82.520939999999996</v>
      </c>
      <c r="J43" s="23" t="s">
        <v>79</v>
      </c>
    </row>
    <row r="44" spans="1:10" x14ac:dyDescent="0.3">
      <c r="A44" s="23" t="s">
        <v>84</v>
      </c>
      <c r="B44" s="23">
        <v>1</v>
      </c>
      <c r="C44" s="23">
        <v>53</v>
      </c>
      <c r="D44" s="23" t="s">
        <v>11</v>
      </c>
      <c r="E44" s="23" t="s">
        <v>82</v>
      </c>
      <c r="F44" s="23" t="s">
        <v>82</v>
      </c>
      <c r="G44" s="23" t="s">
        <v>14</v>
      </c>
      <c r="H44" s="23">
        <v>8.9487839999999998</v>
      </c>
      <c r="I44" s="23">
        <v>-82.116083000000003</v>
      </c>
      <c r="J44" s="23" t="s">
        <v>71</v>
      </c>
    </row>
    <row r="45" spans="1:10" x14ac:dyDescent="0.3">
      <c r="A45" s="23" t="s">
        <v>40</v>
      </c>
      <c r="B45" s="23">
        <v>1</v>
      </c>
      <c r="C45" s="23">
        <v>21</v>
      </c>
      <c r="D45" s="23" t="s">
        <v>11</v>
      </c>
      <c r="E45" s="23" t="s">
        <v>33</v>
      </c>
      <c r="F45" s="23" t="s">
        <v>33</v>
      </c>
      <c r="G45" s="23" t="s">
        <v>14</v>
      </c>
      <c r="H45" s="23">
        <v>9.4545820000000003</v>
      </c>
      <c r="I45" s="23">
        <v>-82.516881999999995</v>
      </c>
      <c r="J45" s="23" t="s">
        <v>39</v>
      </c>
    </row>
    <row r="46" spans="1:10" x14ac:dyDescent="0.3">
      <c r="A46" s="23" t="s">
        <v>41</v>
      </c>
      <c r="B46" s="23">
        <v>1</v>
      </c>
      <c r="C46" s="23">
        <v>22</v>
      </c>
      <c r="D46" s="23" t="s">
        <v>11</v>
      </c>
      <c r="E46" s="23" t="s">
        <v>33</v>
      </c>
      <c r="F46" s="23" t="s">
        <v>33</v>
      </c>
      <c r="G46" s="23" t="s">
        <v>14</v>
      </c>
      <c r="H46" s="23">
        <v>9.4560519999999997</v>
      </c>
      <c r="I46" s="23">
        <v>-82.514567</v>
      </c>
      <c r="J46" s="23" t="s">
        <v>42</v>
      </c>
    </row>
    <row r="47" spans="1:10" x14ac:dyDescent="0.3">
      <c r="A47" s="23" t="s">
        <v>88</v>
      </c>
      <c r="B47" s="23">
        <v>1</v>
      </c>
      <c r="C47" s="23">
        <v>1367</v>
      </c>
      <c r="D47" s="23" t="s">
        <v>11</v>
      </c>
      <c r="E47" s="23" t="s">
        <v>82</v>
      </c>
      <c r="F47" s="23" t="s">
        <v>89</v>
      </c>
      <c r="G47" s="23" t="s">
        <v>14</v>
      </c>
      <c r="H47" s="23">
        <v>8.9178320000000006</v>
      </c>
      <c r="I47" s="23">
        <v>-82.185001</v>
      </c>
      <c r="J47" s="23" t="s">
        <v>71</v>
      </c>
    </row>
    <row r="48" spans="1:10" x14ac:dyDescent="0.3">
      <c r="A48" s="23" t="s">
        <v>27</v>
      </c>
      <c r="B48" s="23">
        <v>1</v>
      </c>
      <c r="C48" s="23">
        <v>5</v>
      </c>
      <c r="D48" s="23" t="s">
        <v>11</v>
      </c>
      <c r="E48" s="23" t="s">
        <v>11</v>
      </c>
      <c r="F48" s="23" t="s">
        <v>11</v>
      </c>
      <c r="G48" s="23" t="s">
        <v>14</v>
      </c>
      <c r="H48" s="23">
        <v>9.3401829999999997</v>
      </c>
      <c r="I48" s="23">
        <v>-82.240630999999993</v>
      </c>
      <c r="J48" s="23" t="s">
        <v>25</v>
      </c>
    </row>
    <row r="49" spans="1:10" x14ac:dyDescent="0.3">
      <c r="A49" s="23" t="s">
        <v>43</v>
      </c>
      <c r="B49" s="23">
        <v>1</v>
      </c>
      <c r="C49" s="23">
        <v>24</v>
      </c>
      <c r="D49" s="23" t="s">
        <v>11</v>
      </c>
      <c r="E49" s="23" t="s">
        <v>33</v>
      </c>
      <c r="F49" s="23" t="s">
        <v>33</v>
      </c>
      <c r="G49" s="23" t="s">
        <v>14</v>
      </c>
      <c r="H49" s="23">
        <v>9.4776340000000001</v>
      </c>
      <c r="I49" s="23">
        <v>-82.508425000000003</v>
      </c>
      <c r="J49" s="23" t="s">
        <v>35</v>
      </c>
    </row>
    <row r="50" spans="1:10" x14ac:dyDescent="0.3">
      <c r="A50" s="23" t="s">
        <v>80</v>
      </c>
      <c r="B50" s="23">
        <v>1</v>
      </c>
      <c r="C50" s="23">
        <v>1650</v>
      </c>
      <c r="D50" s="23" t="s">
        <v>11</v>
      </c>
      <c r="E50" s="23" t="s">
        <v>33</v>
      </c>
      <c r="F50" s="23" t="s">
        <v>33</v>
      </c>
      <c r="G50" s="23" t="s">
        <v>14</v>
      </c>
      <c r="H50" s="23">
        <v>9.4485499999999991</v>
      </c>
      <c r="I50" s="23">
        <v>-82.518296000000007</v>
      </c>
      <c r="J50" s="23"/>
    </row>
    <row r="51" spans="1:10" x14ac:dyDescent="0.3">
      <c r="A51" s="23" t="s">
        <v>74</v>
      </c>
      <c r="B51" s="23">
        <v>1</v>
      </c>
      <c r="C51" s="23">
        <v>49</v>
      </c>
      <c r="D51" s="23" t="s">
        <v>11</v>
      </c>
      <c r="E51" s="23" t="s">
        <v>33</v>
      </c>
      <c r="F51" s="23" t="s">
        <v>66</v>
      </c>
      <c r="G51" s="23" t="s">
        <v>14</v>
      </c>
      <c r="H51" s="23">
        <v>9.4963200000000008</v>
      </c>
      <c r="I51" s="23">
        <v>-82.610202999999998</v>
      </c>
      <c r="J51" s="23" t="s">
        <v>17</v>
      </c>
    </row>
    <row r="52" spans="1:10" x14ac:dyDescent="0.3">
      <c r="A52" s="23" t="s">
        <v>44</v>
      </c>
      <c r="B52" s="23">
        <v>1</v>
      </c>
      <c r="C52" s="23">
        <v>26</v>
      </c>
      <c r="D52" s="23" t="s">
        <v>11</v>
      </c>
      <c r="E52" s="23" t="s">
        <v>33</v>
      </c>
      <c r="F52" s="23" t="s">
        <v>33</v>
      </c>
      <c r="G52" s="23" t="s">
        <v>14</v>
      </c>
      <c r="H52" s="23">
        <v>9.4498580000000008</v>
      </c>
      <c r="I52" s="23">
        <v>-82.518679000000006</v>
      </c>
      <c r="J52" s="23" t="s">
        <v>21</v>
      </c>
    </row>
    <row r="53" spans="1:10" x14ac:dyDescent="0.3">
      <c r="A53" s="23" t="s">
        <v>62</v>
      </c>
      <c r="B53" s="23">
        <v>1</v>
      </c>
      <c r="C53" s="23">
        <v>39</v>
      </c>
      <c r="D53" s="23" t="s">
        <v>11</v>
      </c>
      <c r="E53" s="23" t="s">
        <v>33</v>
      </c>
      <c r="F53" s="23" t="s">
        <v>54</v>
      </c>
      <c r="G53" s="23" t="s">
        <v>14</v>
      </c>
      <c r="H53" s="23">
        <v>9.4156689999999994</v>
      </c>
      <c r="I53" s="23">
        <v>-82.526246</v>
      </c>
      <c r="J53" s="23" t="s">
        <v>42</v>
      </c>
    </row>
    <row r="54" spans="1:10" x14ac:dyDescent="0.3">
      <c r="A54" s="23" t="s">
        <v>63</v>
      </c>
      <c r="B54" s="23">
        <v>1</v>
      </c>
      <c r="C54" s="23">
        <v>40</v>
      </c>
      <c r="D54" s="23" t="s">
        <v>11</v>
      </c>
      <c r="E54" s="23" t="s">
        <v>33</v>
      </c>
      <c r="F54" s="23" t="s">
        <v>54</v>
      </c>
      <c r="G54" s="23" t="s">
        <v>14</v>
      </c>
      <c r="H54" s="23">
        <v>9.4953570000000003</v>
      </c>
      <c r="I54" s="23">
        <v>-82.586636999999996</v>
      </c>
      <c r="J54" s="23" t="s">
        <v>35</v>
      </c>
    </row>
    <row r="55" spans="1:10" x14ac:dyDescent="0.3">
      <c r="A55" s="23" t="s">
        <v>64</v>
      </c>
      <c r="B55" s="23">
        <v>1</v>
      </c>
      <c r="C55" s="23">
        <v>41</v>
      </c>
      <c r="D55" s="23" t="s">
        <v>11</v>
      </c>
      <c r="E55" s="23" t="s">
        <v>33</v>
      </c>
      <c r="F55" s="23" t="s">
        <v>54</v>
      </c>
      <c r="G55" s="23" t="s">
        <v>14</v>
      </c>
      <c r="H55" s="23">
        <v>9.4219749999999998</v>
      </c>
      <c r="I55" s="23">
        <v>-82.523320999999996</v>
      </c>
      <c r="J55" s="23" t="s">
        <v>35</v>
      </c>
    </row>
  </sheetData>
  <sheetProtection formatCells="0" formatColumns="0" formatRows="0" insertColumns="0" insertRows="0" insertHyperlinks="0" deleteColumns="0" deleteRows="0" sort="0" autoFilter="0" pivotTables="0"/>
  <autoFilter ref="B1:J55" xr:uid="{00000000-0001-0000-0000-000000000000}"/>
  <pageMargins left="0" right="0" top="0" bottom="0" header="0.31496062992125984" footer="0.31496062992125984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36BA-9860-4A98-A2E7-EE2717D9DF5C}">
  <sheetPr>
    <pageSetUpPr fitToPage="1"/>
  </sheetPr>
  <dimension ref="A1:G55"/>
  <sheetViews>
    <sheetView topLeftCell="A30" workbookViewId="0"/>
  </sheetViews>
  <sheetFormatPr defaultColWidth="11.44140625" defaultRowHeight="14.4" x14ac:dyDescent="0.3"/>
  <cols>
    <col min="1" max="1" width="45.77734375" customWidth="1"/>
    <col min="2" max="2" width="6.5546875" style="2" customWidth="1"/>
    <col min="3" max="3" width="5.33203125" customWidth="1"/>
    <col min="4" max="4" width="16.21875" style="2" customWidth="1"/>
    <col min="5" max="5" width="17.5546875" style="2" customWidth="1"/>
    <col min="6" max="6" width="21.88671875" style="2" customWidth="1"/>
    <col min="7" max="7" width="10.21875" style="2" customWidth="1"/>
  </cols>
  <sheetData>
    <row r="1" spans="1:7" ht="15.6" x14ac:dyDescent="0.3">
      <c r="A1" s="6" t="s">
        <v>2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93</v>
      </c>
    </row>
    <row r="2" spans="1:7" x14ac:dyDescent="0.3">
      <c r="A2" s="4" t="s">
        <v>92</v>
      </c>
      <c r="B2" s="3">
        <v>1</v>
      </c>
      <c r="C2" s="4">
        <v>1668</v>
      </c>
      <c r="D2" s="3" t="s">
        <v>11</v>
      </c>
      <c r="E2" s="3" t="s">
        <v>11</v>
      </c>
      <c r="F2" s="3" t="s">
        <v>11</v>
      </c>
      <c r="G2" s="3">
        <v>22</v>
      </c>
    </row>
    <row r="3" spans="1:7" x14ac:dyDescent="0.3">
      <c r="A3" s="4" t="s">
        <v>32</v>
      </c>
      <c r="B3" s="3">
        <v>1</v>
      </c>
      <c r="C3" s="4">
        <v>13</v>
      </c>
      <c r="D3" s="3" t="s">
        <v>11</v>
      </c>
      <c r="E3" s="3" t="s">
        <v>33</v>
      </c>
      <c r="F3" s="3" t="s">
        <v>33</v>
      </c>
      <c r="G3" s="3">
        <v>134</v>
      </c>
    </row>
    <row r="4" spans="1:7" x14ac:dyDescent="0.3">
      <c r="A4" s="4" t="s">
        <v>28</v>
      </c>
      <c r="B4" s="3">
        <v>1</v>
      </c>
      <c r="C4" s="4">
        <v>1369</v>
      </c>
      <c r="D4" s="3" t="s">
        <v>11</v>
      </c>
      <c r="E4" s="3" t="s">
        <v>11</v>
      </c>
      <c r="F4" s="3" t="s">
        <v>11</v>
      </c>
      <c r="G4" s="3">
        <v>26</v>
      </c>
    </row>
    <row r="5" spans="1:7" x14ac:dyDescent="0.3">
      <c r="A5" s="4" t="s">
        <v>81</v>
      </c>
      <c r="B5" s="3">
        <v>1</v>
      </c>
      <c r="C5" s="4">
        <v>51</v>
      </c>
      <c r="D5" s="3" t="s">
        <v>11</v>
      </c>
      <c r="E5" s="3" t="s">
        <v>82</v>
      </c>
      <c r="F5" s="3" t="s">
        <v>82</v>
      </c>
      <c r="G5" s="3">
        <v>139</v>
      </c>
    </row>
    <row r="6" spans="1:7" x14ac:dyDescent="0.3">
      <c r="A6" s="4" t="s">
        <v>53</v>
      </c>
      <c r="B6" s="3">
        <v>1</v>
      </c>
      <c r="C6" s="4">
        <v>33</v>
      </c>
      <c r="D6" s="3" t="s">
        <v>11</v>
      </c>
      <c r="E6" s="3" t="s">
        <v>33</v>
      </c>
      <c r="F6" s="3" t="s">
        <v>54</v>
      </c>
      <c r="G6" s="3">
        <v>137</v>
      </c>
    </row>
    <row r="7" spans="1:7" x14ac:dyDescent="0.3">
      <c r="A7" s="4" t="s">
        <v>45</v>
      </c>
      <c r="B7" s="3">
        <v>1</v>
      </c>
      <c r="C7" s="4">
        <v>27</v>
      </c>
      <c r="D7" s="3" t="s">
        <v>11</v>
      </c>
      <c r="E7" s="3" t="s">
        <v>33</v>
      </c>
      <c r="F7" s="3" t="s">
        <v>33</v>
      </c>
      <c r="G7" s="3">
        <v>224</v>
      </c>
    </row>
    <row r="8" spans="1:7" x14ac:dyDescent="0.3">
      <c r="A8" s="4" t="s">
        <v>46</v>
      </c>
      <c r="B8" s="3">
        <v>1</v>
      </c>
      <c r="C8" s="4">
        <v>28</v>
      </c>
      <c r="D8" s="3" t="s">
        <v>11</v>
      </c>
      <c r="E8" s="3" t="s">
        <v>33</v>
      </c>
      <c r="F8" s="3" t="s">
        <v>33</v>
      </c>
      <c r="G8" s="3">
        <v>279</v>
      </c>
    </row>
    <row r="9" spans="1:7" x14ac:dyDescent="0.3">
      <c r="A9" s="4" t="s">
        <v>65</v>
      </c>
      <c r="B9" s="3">
        <v>1</v>
      </c>
      <c r="C9" s="4">
        <v>42</v>
      </c>
      <c r="D9" s="3" t="s">
        <v>11</v>
      </c>
      <c r="E9" s="3" t="s">
        <v>33</v>
      </c>
      <c r="F9" s="3" t="s">
        <v>66</v>
      </c>
      <c r="G9" s="3">
        <v>354</v>
      </c>
    </row>
    <row r="10" spans="1:7" x14ac:dyDescent="0.3">
      <c r="A10" s="4" t="s">
        <v>85</v>
      </c>
      <c r="B10" s="3">
        <v>1</v>
      </c>
      <c r="C10" s="4">
        <v>55</v>
      </c>
      <c r="D10" s="3" t="s">
        <v>11</v>
      </c>
      <c r="E10" s="3" t="s">
        <v>82</v>
      </c>
      <c r="F10" s="3" t="s">
        <v>86</v>
      </c>
      <c r="G10" s="3">
        <v>407</v>
      </c>
    </row>
    <row r="11" spans="1:7" x14ac:dyDescent="0.3">
      <c r="A11" s="4" t="s">
        <v>76</v>
      </c>
      <c r="B11" s="3">
        <v>1</v>
      </c>
      <c r="C11" s="4">
        <v>1380</v>
      </c>
      <c r="D11" s="3" t="s">
        <v>11</v>
      </c>
      <c r="E11" s="3" t="s">
        <v>33</v>
      </c>
      <c r="F11" s="3" t="s">
        <v>77</v>
      </c>
      <c r="G11" s="3">
        <v>727</v>
      </c>
    </row>
    <row r="12" spans="1:7" x14ac:dyDescent="0.3">
      <c r="A12" s="4" t="s">
        <v>10</v>
      </c>
      <c r="B12" s="3">
        <v>1</v>
      </c>
      <c r="C12" s="4">
        <v>6</v>
      </c>
      <c r="D12" s="3" t="s">
        <v>11</v>
      </c>
      <c r="E12" s="3" t="s">
        <v>12</v>
      </c>
      <c r="F12" s="3" t="s">
        <v>13</v>
      </c>
      <c r="G12" s="3">
        <v>120</v>
      </c>
    </row>
    <row r="13" spans="1:7" x14ac:dyDescent="0.3">
      <c r="A13" s="4" t="s">
        <v>24</v>
      </c>
      <c r="B13" s="3">
        <v>1</v>
      </c>
      <c r="C13" s="4">
        <v>1</v>
      </c>
      <c r="D13" s="3" t="s">
        <v>11</v>
      </c>
      <c r="E13" s="3" t="s">
        <v>11</v>
      </c>
      <c r="F13" s="3" t="s">
        <v>11</v>
      </c>
      <c r="G13" s="3">
        <v>39</v>
      </c>
    </row>
    <row r="14" spans="1:7" x14ac:dyDescent="0.3">
      <c r="A14" s="4" t="s">
        <v>67</v>
      </c>
      <c r="B14" s="3">
        <v>1</v>
      </c>
      <c r="C14" s="4">
        <v>43</v>
      </c>
      <c r="D14" s="3" t="s">
        <v>11</v>
      </c>
      <c r="E14" s="3" t="s">
        <v>33</v>
      </c>
      <c r="F14" s="3" t="s">
        <v>66</v>
      </c>
      <c r="G14" s="3">
        <v>276</v>
      </c>
    </row>
    <row r="15" spans="1:7" x14ac:dyDescent="0.3">
      <c r="A15" s="4" t="s">
        <v>55</v>
      </c>
      <c r="B15" s="3">
        <v>1</v>
      </c>
      <c r="C15" s="4">
        <v>34</v>
      </c>
      <c r="D15" s="3" t="s">
        <v>11</v>
      </c>
      <c r="E15" s="3" t="s">
        <v>33</v>
      </c>
      <c r="F15" s="3" t="s">
        <v>54</v>
      </c>
      <c r="G15" s="3">
        <v>158</v>
      </c>
    </row>
    <row r="16" spans="1:7" x14ac:dyDescent="0.3">
      <c r="A16" s="4" t="s">
        <v>16</v>
      </c>
      <c r="B16" s="3">
        <v>1</v>
      </c>
      <c r="C16" s="4">
        <v>7</v>
      </c>
      <c r="D16" s="3" t="s">
        <v>11</v>
      </c>
      <c r="E16" s="3" t="s">
        <v>12</v>
      </c>
      <c r="F16" s="3" t="s">
        <v>13</v>
      </c>
      <c r="G16" s="3">
        <v>53</v>
      </c>
    </row>
    <row r="17" spans="1:7" x14ac:dyDescent="0.3">
      <c r="A17" s="4" t="s">
        <v>18</v>
      </c>
      <c r="B17" s="3">
        <v>1</v>
      </c>
      <c r="C17" s="4">
        <v>8</v>
      </c>
      <c r="D17" s="3" t="s">
        <v>11</v>
      </c>
      <c r="E17" s="3" t="s">
        <v>12</v>
      </c>
      <c r="F17" s="3" t="s">
        <v>13</v>
      </c>
      <c r="G17" s="3">
        <v>159</v>
      </c>
    </row>
    <row r="18" spans="1:7" x14ac:dyDescent="0.3">
      <c r="A18" s="4" t="s">
        <v>20</v>
      </c>
      <c r="B18" s="3">
        <v>1</v>
      </c>
      <c r="C18" s="4">
        <v>9</v>
      </c>
      <c r="D18" s="3" t="s">
        <v>11</v>
      </c>
      <c r="E18" s="3" t="s">
        <v>12</v>
      </c>
      <c r="F18" s="3" t="s">
        <v>13</v>
      </c>
      <c r="G18" s="3">
        <v>139</v>
      </c>
    </row>
    <row r="19" spans="1:7" x14ac:dyDescent="0.3">
      <c r="A19" s="4" t="s">
        <v>87</v>
      </c>
      <c r="B19" s="3">
        <v>1</v>
      </c>
      <c r="C19" s="4">
        <v>56</v>
      </c>
      <c r="D19" s="3" t="s">
        <v>11</v>
      </c>
      <c r="E19" s="3" t="s">
        <v>82</v>
      </c>
      <c r="F19" s="3" t="s">
        <v>86</v>
      </c>
      <c r="G19" s="3">
        <v>443</v>
      </c>
    </row>
    <row r="20" spans="1:7" x14ac:dyDescent="0.3">
      <c r="A20" s="4" t="s">
        <v>56</v>
      </c>
      <c r="B20" s="3">
        <v>1</v>
      </c>
      <c r="C20" s="4">
        <v>35</v>
      </c>
      <c r="D20" s="3" t="s">
        <v>11</v>
      </c>
      <c r="E20" s="3" t="s">
        <v>33</v>
      </c>
      <c r="F20" s="3" t="s">
        <v>54</v>
      </c>
      <c r="G20" s="3">
        <v>128</v>
      </c>
    </row>
    <row r="21" spans="1:7" x14ac:dyDescent="0.3">
      <c r="A21" s="4" t="s">
        <v>57</v>
      </c>
      <c r="B21" s="3">
        <v>1</v>
      </c>
      <c r="C21" s="4">
        <v>36</v>
      </c>
      <c r="D21" s="3" t="s">
        <v>11</v>
      </c>
      <c r="E21" s="3" t="s">
        <v>33</v>
      </c>
      <c r="F21" s="3" t="s">
        <v>54</v>
      </c>
      <c r="G21" s="3">
        <v>210</v>
      </c>
    </row>
    <row r="22" spans="1:7" x14ac:dyDescent="0.3">
      <c r="A22" s="4" t="s">
        <v>58</v>
      </c>
      <c r="B22" s="3">
        <v>1</v>
      </c>
      <c r="C22" s="4">
        <v>37</v>
      </c>
      <c r="D22" s="3" t="s">
        <v>11</v>
      </c>
      <c r="E22" s="3" t="s">
        <v>33</v>
      </c>
      <c r="F22" s="3" t="s">
        <v>54</v>
      </c>
      <c r="G22" s="3">
        <v>124</v>
      </c>
    </row>
    <row r="23" spans="1:7" x14ac:dyDescent="0.3">
      <c r="A23" s="4" t="s">
        <v>34</v>
      </c>
      <c r="B23" s="3">
        <v>1</v>
      </c>
      <c r="C23" s="4">
        <v>17</v>
      </c>
      <c r="D23" s="3" t="s">
        <v>11</v>
      </c>
      <c r="E23" s="3" t="s">
        <v>33</v>
      </c>
      <c r="F23" s="3" t="s">
        <v>33</v>
      </c>
      <c r="G23" s="3">
        <v>83</v>
      </c>
    </row>
    <row r="24" spans="1:7" x14ac:dyDescent="0.3">
      <c r="A24" s="4" t="s">
        <v>68</v>
      </c>
      <c r="B24" s="3">
        <v>1</v>
      </c>
      <c r="C24" s="4">
        <v>44</v>
      </c>
      <c r="D24" s="3" t="s">
        <v>11</v>
      </c>
      <c r="E24" s="3" t="s">
        <v>33</v>
      </c>
      <c r="F24" s="3" t="s">
        <v>66</v>
      </c>
      <c r="G24" s="3">
        <v>133</v>
      </c>
    </row>
    <row r="25" spans="1:7" x14ac:dyDescent="0.3">
      <c r="A25" s="4" t="s">
        <v>48</v>
      </c>
      <c r="B25" s="3">
        <v>1</v>
      </c>
      <c r="C25" s="4">
        <v>29</v>
      </c>
      <c r="D25" s="3" t="s">
        <v>11</v>
      </c>
      <c r="E25" s="3" t="s">
        <v>33</v>
      </c>
      <c r="F25" s="3" t="s">
        <v>33</v>
      </c>
      <c r="G25" s="3">
        <v>182</v>
      </c>
    </row>
    <row r="26" spans="1:7" x14ac:dyDescent="0.3">
      <c r="A26" s="4" t="s">
        <v>49</v>
      </c>
      <c r="B26" s="3">
        <v>1</v>
      </c>
      <c r="C26" s="4">
        <v>30</v>
      </c>
      <c r="D26" s="3" t="s">
        <v>11</v>
      </c>
      <c r="E26" s="3" t="s">
        <v>33</v>
      </c>
      <c r="F26" s="3" t="s">
        <v>33</v>
      </c>
      <c r="G26" s="3">
        <v>100</v>
      </c>
    </row>
    <row r="27" spans="1:7" x14ac:dyDescent="0.3">
      <c r="A27" s="4" t="s">
        <v>69</v>
      </c>
      <c r="B27" s="3">
        <v>1</v>
      </c>
      <c r="C27" s="4">
        <v>45</v>
      </c>
      <c r="D27" s="3" t="s">
        <v>11</v>
      </c>
      <c r="E27" s="3" t="s">
        <v>33</v>
      </c>
      <c r="F27" s="3" t="s">
        <v>66</v>
      </c>
      <c r="G27" s="3">
        <v>202</v>
      </c>
    </row>
    <row r="28" spans="1:7" x14ac:dyDescent="0.3">
      <c r="A28" s="4" t="s">
        <v>50</v>
      </c>
      <c r="B28" s="3">
        <v>1</v>
      </c>
      <c r="C28" s="4">
        <v>31</v>
      </c>
      <c r="D28" s="3" t="s">
        <v>11</v>
      </c>
      <c r="E28" s="3" t="s">
        <v>33</v>
      </c>
      <c r="F28" s="3" t="s">
        <v>33</v>
      </c>
      <c r="G28" s="3">
        <v>372</v>
      </c>
    </row>
    <row r="29" spans="1:7" x14ac:dyDescent="0.3">
      <c r="A29" s="4" t="s">
        <v>75</v>
      </c>
      <c r="B29" s="3">
        <v>1</v>
      </c>
      <c r="C29" s="4">
        <v>1366</v>
      </c>
      <c r="D29" s="3" t="s">
        <v>11</v>
      </c>
      <c r="E29" s="3" t="s">
        <v>33</v>
      </c>
      <c r="F29" s="3" t="s">
        <v>33</v>
      </c>
      <c r="G29" s="3">
        <v>348</v>
      </c>
    </row>
    <row r="30" spans="1:7" x14ac:dyDescent="0.3">
      <c r="A30" s="4" t="s">
        <v>52</v>
      </c>
      <c r="B30" s="3">
        <v>1</v>
      </c>
      <c r="C30" s="4">
        <v>32</v>
      </c>
      <c r="D30" s="3" t="s">
        <v>11</v>
      </c>
      <c r="E30" s="3" t="s">
        <v>33</v>
      </c>
      <c r="F30" s="3" t="s">
        <v>33</v>
      </c>
      <c r="G30" s="3">
        <v>380</v>
      </c>
    </row>
    <row r="31" spans="1:7" x14ac:dyDescent="0.3">
      <c r="A31" s="4" t="s">
        <v>70</v>
      </c>
      <c r="B31" s="3">
        <v>1</v>
      </c>
      <c r="C31" s="4">
        <v>46</v>
      </c>
      <c r="D31" s="3" t="s">
        <v>11</v>
      </c>
      <c r="E31" s="3" t="s">
        <v>33</v>
      </c>
      <c r="F31" s="3" t="s">
        <v>66</v>
      </c>
      <c r="G31" s="3">
        <v>672</v>
      </c>
    </row>
    <row r="32" spans="1:7" x14ac:dyDescent="0.3">
      <c r="A32" s="4" t="s">
        <v>22</v>
      </c>
      <c r="B32" s="3">
        <v>1</v>
      </c>
      <c r="C32" s="4">
        <v>10</v>
      </c>
      <c r="D32" s="3" t="s">
        <v>11</v>
      </c>
      <c r="E32" s="3" t="s">
        <v>12</v>
      </c>
      <c r="F32" s="3" t="s">
        <v>13</v>
      </c>
      <c r="G32" s="3">
        <v>592</v>
      </c>
    </row>
    <row r="33" spans="1:7" x14ac:dyDescent="0.3">
      <c r="A33" s="4" t="s">
        <v>23</v>
      </c>
      <c r="B33" s="3">
        <v>1</v>
      </c>
      <c r="C33" s="4">
        <v>11</v>
      </c>
      <c r="D33" s="3" t="s">
        <v>11</v>
      </c>
      <c r="E33" s="3" t="s">
        <v>12</v>
      </c>
      <c r="F33" s="3" t="s">
        <v>13</v>
      </c>
      <c r="G33" s="3">
        <v>165</v>
      </c>
    </row>
    <row r="34" spans="1:7" x14ac:dyDescent="0.3">
      <c r="A34" s="4" t="s">
        <v>72</v>
      </c>
      <c r="B34" s="3">
        <v>1</v>
      </c>
      <c r="C34" s="4">
        <v>47</v>
      </c>
      <c r="D34" s="3" t="s">
        <v>11</v>
      </c>
      <c r="E34" s="3" t="s">
        <v>33</v>
      </c>
      <c r="F34" s="3" t="s">
        <v>66</v>
      </c>
      <c r="G34" s="3">
        <v>718</v>
      </c>
    </row>
    <row r="35" spans="1:7" x14ac:dyDescent="0.3">
      <c r="A35" s="4" t="s">
        <v>26</v>
      </c>
      <c r="B35" s="3">
        <v>1</v>
      </c>
      <c r="C35" s="4">
        <v>3</v>
      </c>
      <c r="D35" s="3" t="s">
        <v>11</v>
      </c>
      <c r="E35" s="3" t="s">
        <v>11</v>
      </c>
      <c r="F35" s="3" t="s">
        <v>11</v>
      </c>
      <c r="G35" s="3">
        <v>24</v>
      </c>
    </row>
    <row r="36" spans="1:7" x14ac:dyDescent="0.3">
      <c r="A36" s="4" t="s">
        <v>73</v>
      </c>
      <c r="B36" s="3">
        <v>1</v>
      </c>
      <c r="C36" s="4">
        <v>48</v>
      </c>
      <c r="D36" s="3" t="s">
        <v>11</v>
      </c>
      <c r="E36" s="3" t="s">
        <v>33</v>
      </c>
      <c r="F36" s="3" t="s">
        <v>66</v>
      </c>
      <c r="G36" s="3">
        <v>325</v>
      </c>
    </row>
    <row r="37" spans="1:7" x14ac:dyDescent="0.3">
      <c r="A37" s="4" t="s">
        <v>36</v>
      </c>
      <c r="B37" s="3">
        <v>1</v>
      </c>
      <c r="C37" s="4">
        <v>19</v>
      </c>
      <c r="D37" s="3" t="s">
        <v>11</v>
      </c>
      <c r="E37" s="3" t="s">
        <v>33</v>
      </c>
      <c r="F37" s="3" t="s">
        <v>33</v>
      </c>
      <c r="G37" s="3">
        <v>212</v>
      </c>
    </row>
    <row r="38" spans="1:7" x14ac:dyDescent="0.3">
      <c r="A38" s="4" t="s">
        <v>90</v>
      </c>
      <c r="B38" s="3">
        <v>1</v>
      </c>
      <c r="C38" s="4">
        <v>1440</v>
      </c>
      <c r="D38" s="3" t="s">
        <v>11</v>
      </c>
      <c r="E38" s="3" t="s">
        <v>82</v>
      </c>
      <c r="F38" s="3" t="s">
        <v>89</v>
      </c>
      <c r="G38" s="3">
        <v>294</v>
      </c>
    </row>
    <row r="39" spans="1:7" x14ac:dyDescent="0.3">
      <c r="A39" s="4" t="s">
        <v>31</v>
      </c>
      <c r="B39" s="3">
        <v>1</v>
      </c>
      <c r="C39" s="4">
        <v>1651</v>
      </c>
      <c r="D39" s="3" t="s">
        <v>11</v>
      </c>
      <c r="E39" s="3" t="s">
        <v>11</v>
      </c>
      <c r="F39" s="3" t="s">
        <v>11</v>
      </c>
      <c r="G39" s="3">
        <v>139</v>
      </c>
    </row>
    <row r="40" spans="1:7" x14ac:dyDescent="0.3">
      <c r="A40" s="4" t="s">
        <v>83</v>
      </c>
      <c r="B40" s="3">
        <v>1</v>
      </c>
      <c r="C40" s="4">
        <v>52</v>
      </c>
      <c r="D40" s="3" t="s">
        <v>11</v>
      </c>
      <c r="E40" s="3" t="s">
        <v>82</v>
      </c>
      <c r="F40" s="3" t="s">
        <v>82</v>
      </c>
      <c r="G40" s="3">
        <v>312</v>
      </c>
    </row>
    <row r="41" spans="1:7" x14ac:dyDescent="0.3">
      <c r="A41" s="4" t="s">
        <v>61</v>
      </c>
      <c r="B41" s="3">
        <v>1</v>
      </c>
      <c r="C41" s="4">
        <v>38</v>
      </c>
      <c r="D41" s="3" t="s">
        <v>11</v>
      </c>
      <c r="E41" s="3" t="s">
        <v>33</v>
      </c>
      <c r="F41" s="3" t="s">
        <v>54</v>
      </c>
      <c r="G41" s="3">
        <v>138</v>
      </c>
    </row>
    <row r="42" spans="1:7" x14ac:dyDescent="0.3">
      <c r="A42" s="4" t="s">
        <v>37</v>
      </c>
      <c r="B42" s="3">
        <v>1</v>
      </c>
      <c r="C42" s="4">
        <v>20</v>
      </c>
      <c r="D42" s="3" t="s">
        <v>11</v>
      </c>
      <c r="E42" s="3" t="s">
        <v>33</v>
      </c>
      <c r="F42" s="3" t="s">
        <v>33</v>
      </c>
      <c r="G42" s="3">
        <v>318</v>
      </c>
    </row>
    <row r="43" spans="1:7" x14ac:dyDescent="0.3">
      <c r="A43" s="4" t="s">
        <v>78</v>
      </c>
      <c r="B43" s="3">
        <v>1</v>
      </c>
      <c r="C43" s="4">
        <v>1582</v>
      </c>
      <c r="D43" s="3" t="s">
        <v>11</v>
      </c>
      <c r="E43" s="3" t="s">
        <v>33</v>
      </c>
      <c r="F43" s="3" t="s">
        <v>33</v>
      </c>
      <c r="G43" s="3">
        <v>143</v>
      </c>
    </row>
    <row r="44" spans="1:7" x14ac:dyDescent="0.3">
      <c r="A44" s="4" t="s">
        <v>84</v>
      </c>
      <c r="B44" s="3">
        <v>1</v>
      </c>
      <c r="C44" s="4">
        <v>53</v>
      </c>
      <c r="D44" s="3" t="s">
        <v>11</v>
      </c>
      <c r="E44" s="3" t="s">
        <v>82</v>
      </c>
      <c r="F44" s="3" t="s">
        <v>82</v>
      </c>
      <c r="G44" s="3">
        <v>339</v>
      </c>
    </row>
    <row r="45" spans="1:7" x14ac:dyDescent="0.3">
      <c r="A45" s="4" t="s">
        <v>40</v>
      </c>
      <c r="B45" s="3">
        <v>1</v>
      </c>
      <c r="C45" s="4">
        <v>21</v>
      </c>
      <c r="D45" s="3" t="s">
        <v>11</v>
      </c>
      <c r="E45" s="3" t="s">
        <v>33</v>
      </c>
      <c r="F45" s="3" t="s">
        <v>33</v>
      </c>
      <c r="G45" s="3">
        <v>134</v>
      </c>
    </row>
    <row r="46" spans="1:7" x14ac:dyDescent="0.3">
      <c r="A46" s="4" t="s">
        <v>41</v>
      </c>
      <c r="B46" s="3">
        <v>1</v>
      </c>
      <c r="C46" s="4">
        <v>22</v>
      </c>
      <c r="D46" s="3" t="s">
        <v>11</v>
      </c>
      <c r="E46" s="3" t="s">
        <v>33</v>
      </c>
      <c r="F46" s="3" t="s">
        <v>33</v>
      </c>
      <c r="G46" s="3">
        <v>155</v>
      </c>
    </row>
    <row r="47" spans="1:7" x14ac:dyDescent="0.3">
      <c r="A47" s="4" t="s">
        <v>88</v>
      </c>
      <c r="B47" s="3">
        <v>1</v>
      </c>
      <c r="C47" s="4">
        <v>1367</v>
      </c>
      <c r="D47" s="3" t="s">
        <v>11</v>
      </c>
      <c r="E47" s="3" t="s">
        <v>82</v>
      </c>
      <c r="F47" s="3" t="s">
        <v>89</v>
      </c>
      <c r="G47" s="3">
        <v>192</v>
      </c>
    </row>
    <row r="48" spans="1:7" x14ac:dyDescent="0.3">
      <c r="A48" s="4" t="s">
        <v>27</v>
      </c>
      <c r="B48" s="3">
        <v>1</v>
      </c>
      <c r="C48" s="4">
        <v>5</v>
      </c>
      <c r="D48" s="3" t="s">
        <v>11</v>
      </c>
      <c r="E48" s="3" t="s">
        <v>11</v>
      </c>
      <c r="F48" s="3" t="s">
        <v>11</v>
      </c>
      <c r="G48" s="3">
        <v>132</v>
      </c>
    </row>
    <row r="49" spans="1:7" x14ac:dyDescent="0.3">
      <c r="A49" s="4" t="s">
        <v>43</v>
      </c>
      <c r="B49" s="3">
        <v>1</v>
      </c>
      <c r="C49" s="4">
        <v>24</v>
      </c>
      <c r="D49" s="3" t="s">
        <v>11</v>
      </c>
      <c r="E49" s="3" t="s">
        <v>33</v>
      </c>
      <c r="F49" s="3" t="s">
        <v>33</v>
      </c>
      <c r="G49" s="3">
        <v>251</v>
      </c>
    </row>
    <row r="50" spans="1:7" x14ac:dyDescent="0.3">
      <c r="A50" s="4" t="s">
        <v>80</v>
      </c>
      <c r="B50" s="3">
        <v>1</v>
      </c>
      <c r="C50" s="4">
        <v>1650</v>
      </c>
      <c r="D50" s="3" t="s">
        <v>11</v>
      </c>
      <c r="E50" s="3" t="s">
        <v>33</v>
      </c>
      <c r="F50" s="3" t="s">
        <v>33</v>
      </c>
      <c r="G50" s="3">
        <v>15</v>
      </c>
    </row>
    <row r="51" spans="1:7" x14ac:dyDescent="0.3">
      <c r="A51" s="4" t="s">
        <v>74</v>
      </c>
      <c r="B51" s="3">
        <v>1</v>
      </c>
      <c r="C51" s="4">
        <v>49</v>
      </c>
      <c r="D51" s="3" t="s">
        <v>11</v>
      </c>
      <c r="E51" s="3" t="s">
        <v>33</v>
      </c>
      <c r="F51" s="3" t="s">
        <v>66</v>
      </c>
      <c r="G51" s="3">
        <v>335</v>
      </c>
    </row>
    <row r="52" spans="1:7" x14ac:dyDescent="0.3">
      <c r="A52" s="4" t="s">
        <v>44</v>
      </c>
      <c r="B52" s="3">
        <v>1</v>
      </c>
      <c r="C52" s="4">
        <v>26</v>
      </c>
      <c r="D52" s="3" t="s">
        <v>11</v>
      </c>
      <c r="E52" s="3" t="s">
        <v>33</v>
      </c>
      <c r="F52" s="3" t="s">
        <v>33</v>
      </c>
      <c r="G52" s="3">
        <v>180</v>
      </c>
    </row>
    <row r="53" spans="1:7" x14ac:dyDescent="0.3">
      <c r="A53" s="4" t="s">
        <v>62</v>
      </c>
      <c r="B53" s="3">
        <v>1</v>
      </c>
      <c r="C53" s="4">
        <v>39</v>
      </c>
      <c r="D53" s="3" t="s">
        <v>11</v>
      </c>
      <c r="E53" s="3" t="s">
        <v>33</v>
      </c>
      <c r="F53" s="3" t="s">
        <v>54</v>
      </c>
      <c r="G53" s="3">
        <v>100</v>
      </c>
    </row>
    <row r="54" spans="1:7" x14ac:dyDescent="0.3">
      <c r="A54" s="4" t="s">
        <v>63</v>
      </c>
      <c r="B54" s="3">
        <v>1</v>
      </c>
      <c r="C54" s="4">
        <v>40</v>
      </c>
      <c r="D54" s="3" t="s">
        <v>11</v>
      </c>
      <c r="E54" s="3" t="s">
        <v>33</v>
      </c>
      <c r="F54" s="3" t="s">
        <v>54</v>
      </c>
      <c r="G54" s="3">
        <v>27</v>
      </c>
    </row>
    <row r="55" spans="1:7" x14ac:dyDescent="0.3">
      <c r="A55" s="4" t="s">
        <v>64</v>
      </c>
      <c r="B55" s="3">
        <v>1</v>
      </c>
      <c r="C55" s="4">
        <v>41</v>
      </c>
      <c r="D55" s="3" t="s">
        <v>11</v>
      </c>
      <c r="E55" s="3" t="s">
        <v>33</v>
      </c>
      <c r="F55" s="3" t="s">
        <v>54</v>
      </c>
      <c r="G55" s="3">
        <v>144</v>
      </c>
    </row>
  </sheetData>
  <autoFilter ref="B1:G55" xr:uid="{5A9BE0AA-AAEB-4D09-A031-ACA3C5CA67CF}"/>
  <pageMargins left="0.70866141732283472" right="0.70866141732283472" top="0.74803149606299213" bottom="0.74803149606299213" header="0.31496062992125984" footer="0.31496062992125984"/>
  <pageSetup scale="72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948A-D795-48A8-828F-3EE8F7E2CD09}">
  <dimension ref="A1:I55"/>
  <sheetViews>
    <sheetView workbookViewId="0"/>
  </sheetViews>
  <sheetFormatPr defaultColWidth="11.5546875" defaultRowHeight="14.4" x14ac:dyDescent="0.3"/>
  <cols>
    <col min="1" max="1" width="35" customWidth="1"/>
    <col min="3" max="3" width="20.6640625" customWidth="1"/>
    <col min="4" max="4" width="23.21875" customWidth="1"/>
    <col min="5" max="5" width="30.21875" customWidth="1"/>
    <col min="6" max="6" width="30.44140625" customWidth="1"/>
    <col min="8" max="8" width="27.77734375" customWidth="1"/>
  </cols>
  <sheetData>
    <row r="1" spans="1:9" ht="15.6" x14ac:dyDescent="0.3">
      <c r="A1" s="5" t="s">
        <v>2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7" t="s">
        <v>100</v>
      </c>
      <c r="H1" s="5" t="s">
        <v>99</v>
      </c>
      <c r="I1" s="5" t="s">
        <v>98</v>
      </c>
    </row>
    <row r="2" spans="1:9" x14ac:dyDescent="0.3">
      <c r="A2" s="3" t="s">
        <v>92</v>
      </c>
      <c r="B2" s="3">
        <v>1</v>
      </c>
      <c r="C2" s="3">
        <v>1668</v>
      </c>
      <c r="D2" s="3" t="s">
        <v>11</v>
      </c>
      <c r="E2" s="3" t="s">
        <v>11</v>
      </c>
      <c r="F2" s="3" t="s">
        <v>11</v>
      </c>
      <c r="G2" s="3">
        <v>800</v>
      </c>
      <c r="H2" s="3" t="s">
        <v>95</v>
      </c>
      <c r="I2" s="3" t="s">
        <v>94</v>
      </c>
    </row>
    <row r="3" spans="1:9" x14ac:dyDescent="0.3">
      <c r="A3" s="3" t="s">
        <v>32</v>
      </c>
      <c r="B3" s="3">
        <v>1</v>
      </c>
      <c r="C3" s="3">
        <v>13</v>
      </c>
      <c r="D3" s="3" t="s">
        <v>11</v>
      </c>
      <c r="E3" s="3" t="s">
        <v>33</v>
      </c>
      <c r="F3" s="3" t="s">
        <v>33</v>
      </c>
      <c r="G3" s="3">
        <v>1654</v>
      </c>
      <c r="H3" s="3" t="s">
        <v>95</v>
      </c>
      <c r="I3" s="3" t="s">
        <v>94</v>
      </c>
    </row>
    <row r="4" spans="1:9" x14ac:dyDescent="0.3">
      <c r="A4" s="3" t="s">
        <v>28</v>
      </c>
      <c r="B4" s="3">
        <v>1</v>
      </c>
      <c r="C4" s="3">
        <v>1369</v>
      </c>
      <c r="D4" s="3" t="s">
        <v>11</v>
      </c>
      <c r="E4" s="3" t="s">
        <v>11</v>
      </c>
      <c r="F4" s="3" t="s">
        <v>11</v>
      </c>
      <c r="G4" s="3">
        <v>1091</v>
      </c>
      <c r="H4" s="3" t="s">
        <v>95</v>
      </c>
      <c r="I4" s="3" t="s">
        <v>94</v>
      </c>
    </row>
    <row r="5" spans="1:9" x14ac:dyDescent="0.3">
      <c r="A5" s="3" t="s">
        <v>81</v>
      </c>
      <c r="B5" s="3">
        <v>1</v>
      </c>
      <c r="C5" s="3">
        <v>51</v>
      </c>
      <c r="D5" s="3" t="s">
        <v>11</v>
      </c>
      <c r="E5" s="3" t="s">
        <v>82</v>
      </c>
      <c r="F5" s="3" t="s">
        <v>82</v>
      </c>
      <c r="G5" s="3">
        <v>1098</v>
      </c>
      <c r="H5" s="3" t="s">
        <v>95</v>
      </c>
      <c r="I5" s="3" t="s">
        <v>94</v>
      </c>
    </row>
    <row r="6" spans="1:9" x14ac:dyDescent="0.3">
      <c r="A6" s="3" t="s">
        <v>53</v>
      </c>
      <c r="B6" s="3">
        <v>1</v>
      </c>
      <c r="C6" s="3">
        <v>33</v>
      </c>
      <c r="D6" s="3" t="s">
        <v>11</v>
      </c>
      <c r="E6" s="3" t="s">
        <v>33</v>
      </c>
      <c r="F6" s="3" t="s">
        <v>54</v>
      </c>
      <c r="G6" s="3">
        <v>2157</v>
      </c>
      <c r="H6" s="3" t="s">
        <v>95</v>
      </c>
      <c r="I6" s="3" t="s">
        <v>94</v>
      </c>
    </row>
    <row r="7" spans="1:9" x14ac:dyDescent="0.3">
      <c r="A7" s="3" t="s">
        <v>45</v>
      </c>
      <c r="B7" s="3">
        <v>1</v>
      </c>
      <c r="C7" s="3">
        <v>27</v>
      </c>
      <c r="D7" s="3" t="s">
        <v>11</v>
      </c>
      <c r="E7" s="3" t="s">
        <v>33</v>
      </c>
      <c r="F7" s="3" t="s">
        <v>33</v>
      </c>
      <c r="G7" s="3">
        <v>3301</v>
      </c>
      <c r="H7" s="3" t="s">
        <v>95</v>
      </c>
      <c r="I7" s="3" t="s">
        <v>94</v>
      </c>
    </row>
    <row r="8" spans="1:9" x14ac:dyDescent="0.3">
      <c r="A8" s="3" t="s">
        <v>46</v>
      </c>
      <c r="B8" s="3">
        <v>1</v>
      </c>
      <c r="C8" s="3">
        <v>28</v>
      </c>
      <c r="D8" s="3" t="s">
        <v>11</v>
      </c>
      <c r="E8" s="3" t="s">
        <v>33</v>
      </c>
      <c r="F8" s="3" t="s">
        <v>33</v>
      </c>
      <c r="G8" s="3">
        <v>4745</v>
      </c>
      <c r="H8" s="3" t="s">
        <v>95</v>
      </c>
      <c r="I8" s="3" t="s">
        <v>94</v>
      </c>
    </row>
    <row r="9" spans="1:9" x14ac:dyDescent="0.3">
      <c r="A9" s="3" t="s">
        <v>65</v>
      </c>
      <c r="B9" s="3">
        <v>1</v>
      </c>
      <c r="C9" s="3">
        <v>42</v>
      </c>
      <c r="D9" s="3" t="s">
        <v>11</v>
      </c>
      <c r="E9" s="3" t="s">
        <v>33</v>
      </c>
      <c r="F9" s="3" t="s">
        <v>66</v>
      </c>
      <c r="G9" s="3">
        <v>3998</v>
      </c>
      <c r="H9" s="3" t="s">
        <v>95</v>
      </c>
      <c r="I9" s="3" t="s">
        <v>94</v>
      </c>
    </row>
    <row r="10" spans="1:9" x14ac:dyDescent="0.3">
      <c r="A10" s="3" t="s">
        <v>85</v>
      </c>
      <c r="B10" s="3">
        <v>1</v>
      </c>
      <c r="C10" s="3">
        <v>55</v>
      </c>
      <c r="D10" s="3" t="s">
        <v>11</v>
      </c>
      <c r="E10" s="3" t="s">
        <v>82</v>
      </c>
      <c r="F10" s="3" t="s">
        <v>86</v>
      </c>
      <c r="G10" s="3">
        <v>2928</v>
      </c>
      <c r="H10" s="3" t="s">
        <v>95</v>
      </c>
      <c r="I10" s="3" t="s">
        <v>94</v>
      </c>
    </row>
    <row r="11" spans="1:9" x14ac:dyDescent="0.3">
      <c r="A11" s="3" t="s">
        <v>76</v>
      </c>
      <c r="B11" s="3">
        <v>1</v>
      </c>
      <c r="C11" s="3">
        <v>1380</v>
      </c>
      <c r="D11" s="3" t="s">
        <v>11</v>
      </c>
      <c r="E11" s="3" t="s">
        <v>33</v>
      </c>
      <c r="F11" s="3" t="s">
        <v>77</v>
      </c>
      <c r="G11" s="3">
        <v>3780</v>
      </c>
      <c r="H11" s="3" t="s">
        <v>95</v>
      </c>
      <c r="I11" s="3" t="s">
        <v>94</v>
      </c>
    </row>
    <row r="12" spans="1:9" x14ac:dyDescent="0.3">
      <c r="A12" s="3" t="s">
        <v>10</v>
      </c>
      <c r="B12" s="3">
        <v>1</v>
      </c>
      <c r="C12" s="3">
        <v>6</v>
      </c>
      <c r="D12" s="3" t="s">
        <v>11</v>
      </c>
      <c r="E12" s="3" t="s">
        <v>12</v>
      </c>
      <c r="F12" s="3" t="s">
        <v>13</v>
      </c>
      <c r="G12" s="3">
        <v>1993</v>
      </c>
      <c r="H12" s="3" t="s">
        <v>95</v>
      </c>
      <c r="I12" s="3" t="s">
        <v>94</v>
      </c>
    </row>
    <row r="13" spans="1:9" x14ac:dyDescent="0.3">
      <c r="A13" s="3" t="s">
        <v>24</v>
      </c>
      <c r="B13" s="3">
        <v>1</v>
      </c>
      <c r="C13" s="3">
        <v>1</v>
      </c>
      <c r="D13" s="3" t="s">
        <v>11</v>
      </c>
      <c r="E13" s="3" t="s">
        <v>11</v>
      </c>
      <c r="F13" s="3" t="s">
        <v>11</v>
      </c>
      <c r="G13" s="3">
        <v>453</v>
      </c>
      <c r="H13" s="3" t="s">
        <v>95</v>
      </c>
      <c r="I13" s="3" t="s">
        <v>94</v>
      </c>
    </row>
    <row r="14" spans="1:9" x14ac:dyDescent="0.3">
      <c r="A14" s="3" t="s">
        <v>67</v>
      </c>
      <c r="B14" s="3">
        <v>1</v>
      </c>
      <c r="C14" s="3">
        <v>43</v>
      </c>
      <c r="D14" s="3" t="s">
        <v>11</v>
      </c>
      <c r="E14" s="3" t="s">
        <v>33</v>
      </c>
      <c r="F14" s="3" t="s">
        <v>66</v>
      </c>
      <c r="G14" s="3">
        <v>2403</v>
      </c>
      <c r="H14" s="3" t="s">
        <v>95</v>
      </c>
      <c r="I14" s="3" t="s">
        <v>94</v>
      </c>
    </row>
    <row r="15" spans="1:9" x14ac:dyDescent="0.3">
      <c r="A15" s="3" t="s">
        <v>55</v>
      </c>
      <c r="B15" s="3">
        <v>1</v>
      </c>
      <c r="C15" s="3">
        <v>34</v>
      </c>
      <c r="D15" s="3" t="s">
        <v>11</v>
      </c>
      <c r="E15" s="3" t="s">
        <v>33</v>
      </c>
      <c r="F15" s="3" t="s">
        <v>54</v>
      </c>
      <c r="G15" s="3">
        <v>788</v>
      </c>
      <c r="H15" s="3" t="s">
        <v>95</v>
      </c>
      <c r="I15" s="3" t="s">
        <v>94</v>
      </c>
    </row>
    <row r="16" spans="1:9" x14ac:dyDescent="0.3">
      <c r="A16" s="3" t="s">
        <v>16</v>
      </c>
      <c r="B16" s="3">
        <v>1</v>
      </c>
      <c r="C16" s="3">
        <v>7</v>
      </c>
      <c r="D16" s="3" t="s">
        <v>11</v>
      </c>
      <c r="E16" s="3" t="s">
        <v>12</v>
      </c>
      <c r="F16" s="3" t="s">
        <v>13</v>
      </c>
      <c r="G16" s="3">
        <v>1259</v>
      </c>
      <c r="H16" s="3" t="s">
        <v>95</v>
      </c>
      <c r="I16" s="3" t="s">
        <v>94</v>
      </c>
    </row>
    <row r="17" spans="1:9" x14ac:dyDescent="0.3">
      <c r="A17" s="3" t="s">
        <v>18</v>
      </c>
      <c r="B17" s="3">
        <v>1</v>
      </c>
      <c r="C17" s="3">
        <v>8</v>
      </c>
      <c r="D17" s="3" t="s">
        <v>11</v>
      </c>
      <c r="E17" s="3" t="s">
        <v>12</v>
      </c>
      <c r="F17" s="3" t="s">
        <v>13</v>
      </c>
      <c r="G17" s="3">
        <v>994</v>
      </c>
      <c r="H17" s="3" t="s">
        <v>95</v>
      </c>
      <c r="I17" s="3" t="s">
        <v>94</v>
      </c>
    </row>
    <row r="18" spans="1:9" x14ac:dyDescent="0.3">
      <c r="A18" s="3" t="s">
        <v>20</v>
      </c>
      <c r="B18" s="3">
        <v>1</v>
      </c>
      <c r="C18" s="3">
        <v>9</v>
      </c>
      <c r="D18" s="3" t="s">
        <v>11</v>
      </c>
      <c r="E18" s="3" t="s">
        <v>12</v>
      </c>
      <c r="F18" s="3" t="s">
        <v>13</v>
      </c>
      <c r="G18" s="3">
        <v>1111</v>
      </c>
      <c r="H18" s="3" t="s">
        <v>95</v>
      </c>
      <c r="I18" s="3" t="s">
        <v>94</v>
      </c>
    </row>
    <row r="19" spans="1:9" x14ac:dyDescent="0.3">
      <c r="A19" s="3" t="s">
        <v>87</v>
      </c>
      <c r="B19" s="3">
        <v>1</v>
      </c>
      <c r="C19" s="3">
        <v>56</v>
      </c>
      <c r="D19" s="3" t="s">
        <v>11</v>
      </c>
      <c r="E19" s="3" t="s">
        <v>82</v>
      </c>
      <c r="F19" s="3" t="s">
        <v>86</v>
      </c>
      <c r="G19" s="3">
        <v>2980</v>
      </c>
      <c r="H19" s="3" t="s">
        <v>95</v>
      </c>
      <c r="I19" s="3" t="s">
        <v>94</v>
      </c>
    </row>
    <row r="20" spans="1:9" x14ac:dyDescent="0.3">
      <c r="A20" s="3" t="s">
        <v>56</v>
      </c>
      <c r="B20" s="3">
        <v>1</v>
      </c>
      <c r="C20" s="3">
        <v>35</v>
      </c>
      <c r="D20" s="3" t="s">
        <v>11</v>
      </c>
      <c r="E20" s="3" t="s">
        <v>33</v>
      </c>
      <c r="F20" s="3" t="s">
        <v>54</v>
      </c>
      <c r="G20" s="3">
        <v>2444</v>
      </c>
      <c r="H20" s="3" t="s">
        <v>95</v>
      </c>
      <c r="I20" s="3" t="s">
        <v>94</v>
      </c>
    </row>
    <row r="21" spans="1:9" x14ac:dyDescent="0.3">
      <c r="A21" s="3" t="s">
        <v>57</v>
      </c>
      <c r="B21" s="3">
        <v>1</v>
      </c>
      <c r="C21" s="3">
        <v>36</v>
      </c>
      <c r="D21" s="3" t="s">
        <v>11</v>
      </c>
      <c r="E21" s="3" t="s">
        <v>33</v>
      </c>
      <c r="F21" s="3" t="s">
        <v>54</v>
      </c>
      <c r="G21" s="3">
        <v>1775</v>
      </c>
      <c r="H21" s="3" t="s">
        <v>95</v>
      </c>
      <c r="I21" s="3" t="s">
        <v>94</v>
      </c>
    </row>
    <row r="22" spans="1:9" x14ac:dyDescent="0.3">
      <c r="A22" s="3" t="s">
        <v>58</v>
      </c>
      <c r="B22" s="3">
        <v>1</v>
      </c>
      <c r="C22" s="3">
        <v>37</v>
      </c>
      <c r="D22" s="3" t="s">
        <v>11</v>
      </c>
      <c r="E22" s="3" t="s">
        <v>33</v>
      </c>
      <c r="F22" s="3" t="s">
        <v>54</v>
      </c>
      <c r="G22" s="3">
        <v>313</v>
      </c>
      <c r="H22" s="3" t="s">
        <v>95</v>
      </c>
      <c r="I22" s="3" t="s">
        <v>94</v>
      </c>
    </row>
    <row r="23" spans="1:9" x14ac:dyDescent="0.3">
      <c r="A23" s="3" t="s">
        <v>34</v>
      </c>
      <c r="B23" s="3">
        <v>1</v>
      </c>
      <c r="C23" s="3">
        <v>17</v>
      </c>
      <c r="D23" s="3" t="s">
        <v>11</v>
      </c>
      <c r="E23" s="3" t="s">
        <v>33</v>
      </c>
      <c r="F23" s="3" t="s">
        <v>33</v>
      </c>
      <c r="G23" s="3">
        <v>1418</v>
      </c>
      <c r="H23" s="3" t="s">
        <v>95</v>
      </c>
      <c r="I23" s="3" t="s">
        <v>94</v>
      </c>
    </row>
    <row r="24" spans="1:9" x14ac:dyDescent="0.3">
      <c r="A24" s="3" t="s">
        <v>68</v>
      </c>
      <c r="B24" s="3">
        <v>1</v>
      </c>
      <c r="C24" s="3">
        <v>44</v>
      </c>
      <c r="D24" s="3" t="s">
        <v>11</v>
      </c>
      <c r="E24" s="3" t="s">
        <v>33</v>
      </c>
      <c r="F24" s="3" t="s">
        <v>66</v>
      </c>
      <c r="G24" s="3">
        <v>996</v>
      </c>
      <c r="H24" s="3" t="s">
        <v>95</v>
      </c>
      <c r="I24" s="3" t="s">
        <v>94</v>
      </c>
    </row>
    <row r="25" spans="1:9" x14ac:dyDescent="0.3">
      <c r="A25" s="3" t="s">
        <v>48</v>
      </c>
      <c r="B25" s="3">
        <v>1</v>
      </c>
      <c r="C25" s="3">
        <v>29</v>
      </c>
      <c r="D25" s="3" t="s">
        <v>11</v>
      </c>
      <c r="E25" s="3" t="s">
        <v>33</v>
      </c>
      <c r="F25" s="3" t="s">
        <v>33</v>
      </c>
      <c r="G25" s="3">
        <v>2159</v>
      </c>
      <c r="H25" s="3" t="s">
        <v>95</v>
      </c>
      <c r="I25" s="3" t="s">
        <v>94</v>
      </c>
    </row>
    <row r="26" spans="1:9" x14ac:dyDescent="0.3">
      <c r="A26" s="3" t="s">
        <v>49</v>
      </c>
      <c r="B26" s="3">
        <v>1</v>
      </c>
      <c r="C26" s="3">
        <v>30</v>
      </c>
      <c r="D26" s="3" t="s">
        <v>11</v>
      </c>
      <c r="E26" s="3" t="s">
        <v>33</v>
      </c>
      <c r="F26" s="3" t="s">
        <v>33</v>
      </c>
      <c r="G26" s="3">
        <v>1337</v>
      </c>
      <c r="H26" s="3" t="s">
        <v>95</v>
      </c>
      <c r="I26" s="3" t="s">
        <v>94</v>
      </c>
    </row>
    <row r="27" spans="1:9" x14ac:dyDescent="0.3">
      <c r="A27" s="3" t="s">
        <v>69</v>
      </c>
      <c r="B27" s="3">
        <v>1</v>
      </c>
      <c r="C27" s="3">
        <v>45</v>
      </c>
      <c r="D27" s="3" t="s">
        <v>11</v>
      </c>
      <c r="E27" s="3" t="s">
        <v>33</v>
      </c>
      <c r="F27" s="3" t="s">
        <v>66</v>
      </c>
      <c r="G27" s="3">
        <v>1776</v>
      </c>
      <c r="H27" s="3" t="s">
        <v>95</v>
      </c>
      <c r="I27" s="3" t="s">
        <v>94</v>
      </c>
    </row>
    <row r="28" spans="1:9" x14ac:dyDescent="0.3">
      <c r="A28" s="3" t="s">
        <v>50</v>
      </c>
      <c r="B28" s="3">
        <v>1</v>
      </c>
      <c r="C28" s="3">
        <v>31</v>
      </c>
      <c r="D28" s="3" t="s">
        <v>11</v>
      </c>
      <c r="E28" s="3" t="s">
        <v>33</v>
      </c>
      <c r="F28" s="3" t="s">
        <v>33</v>
      </c>
      <c r="G28" s="3">
        <v>5681</v>
      </c>
      <c r="H28" s="3" t="s">
        <v>95</v>
      </c>
      <c r="I28" s="3" t="s">
        <v>94</v>
      </c>
    </row>
    <row r="29" spans="1:9" x14ac:dyDescent="0.3">
      <c r="A29" s="3" t="s">
        <v>75</v>
      </c>
      <c r="B29" s="3">
        <v>1</v>
      </c>
      <c r="C29" s="3">
        <v>1366</v>
      </c>
      <c r="D29" s="3" t="s">
        <v>11</v>
      </c>
      <c r="E29" s="3" t="s">
        <v>33</v>
      </c>
      <c r="F29" s="3" t="s">
        <v>33</v>
      </c>
      <c r="G29" s="3">
        <v>823</v>
      </c>
      <c r="H29" s="3" t="s">
        <v>95</v>
      </c>
      <c r="I29" s="3" t="s">
        <v>94</v>
      </c>
    </row>
    <row r="30" spans="1:9" x14ac:dyDescent="0.3">
      <c r="A30" s="3" t="s">
        <v>52</v>
      </c>
      <c r="B30" s="3">
        <v>1</v>
      </c>
      <c r="C30" s="3">
        <v>32</v>
      </c>
      <c r="D30" s="3" t="s">
        <v>11</v>
      </c>
      <c r="E30" s="3" t="s">
        <v>33</v>
      </c>
      <c r="F30" s="3" t="s">
        <v>33</v>
      </c>
      <c r="G30" s="3">
        <v>3385</v>
      </c>
      <c r="H30" s="3" t="s">
        <v>95</v>
      </c>
      <c r="I30" s="3" t="s">
        <v>94</v>
      </c>
    </row>
    <row r="31" spans="1:9" x14ac:dyDescent="0.3">
      <c r="A31" s="3" t="s">
        <v>70</v>
      </c>
      <c r="B31" s="3">
        <v>1</v>
      </c>
      <c r="C31" s="3">
        <v>46</v>
      </c>
      <c r="D31" s="3" t="s">
        <v>11</v>
      </c>
      <c r="E31" s="3" t="s">
        <v>33</v>
      </c>
      <c r="F31" s="3" t="s">
        <v>66</v>
      </c>
      <c r="G31" s="3">
        <v>3726</v>
      </c>
      <c r="H31" s="3" t="s">
        <v>95</v>
      </c>
      <c r="I31" s="3" t="s">
        <v>94</v>
      </c>
    </row>
    <row r="32" spans="1:9" x14ac:dyDescent="0.3">
      <c r="A32" s="3" t="s">
        <v>22</v>
      </c>
      <c r="B32" s="3">
        <v>1</v>
      </c>
      <c r="C32" s="3">
        <v>10</v>
      </c>
      <c r="D32" s="3" t="s">
        <v>11</v>
      </c>
      <c r="E32" s="3" t="s">
        <v>12</v>
      </c>
      <c r="F32" s="3" t="s">
        <v>13</v>
      </c>
      <c r="G32" s="3">
        <v>2364</v>
      </c>
      <c r="H32" s="3" t="s">
        <v>95</v>
      </c>
      <c r="I32" s="3" t="s">
        <v>94</v>
      </c>
    </row>
    <row r="33" spans="1:9" x14ac:dyDescent="0.3">
      <c r="A33" s="3" t="s">
        <v>23</v>
      </c>
      <c r="B33" s="3">
        <v>1</v>
      </c>
      <c r="C33" s="3">
        <v>11</v>
      </c>
      <c r="D33" s="3" t="s">
        <v>11</v>
      </c>
      <c r="E33" s="3" t="s">
        <v>12</v>
      </c>
      <c r="F33" s="3" t="s">
        <v>13</v>
      </c>
      <c r="G33" s="3">
        <v>753</v>
      </c>
      <c r="H33" s="3" t="s">
        <v>95</v>
      </c>
      <c r="I33" s="3" t="s">
        <v>94</v>
      </c>
    </row>
    <row r="34" spans="1:9" x14ac:dyDescent="0.3">
      <c r="A34" s="3" t="s">
        <v>72</v>
      </c>
      <c r="B34" s="3">
        <v>1</v>
      </c>
      <c r="C34" s="3">
        <v>47</v>
      </c>
      <c r="D34" s="3" t="s">
        <v>11</v>
      </c>
      <c r="E34" s="3" t="s">
        <v>33</v>
      </c>
      <c r="F34" s="3" t="s">
        <v>66</v>
      </c>
      <c r="G34" s="3">
        <v>2808</v>
      </c>
      <c r="H34" s="3" t="s">
        <v>95</v>
      </c>
      <c r="I34" s="3" t="s">
        <v>94</v>
      </c>
    </row>
    <row r="35" spans="1:9" x14ac:dyDescent="0.3">
      <c r="A35" s="3" t="s">
        <v>26</v>
      </c>
      <c r="B35" s="3">
        <v>1</v>
      </c>
      <c r="C35" s="3">
        <v>3</v>
      </c>
      <c r="D35" s="3" t="s">
        <v>11</v>
      </c>
      <c r="E35" s="3" t="s">
        <v>11</v>
      </c>
      <c r="F35" s="3" t="s">
        <v>11</v>
      </c>
      <c r="G35" s="3">
        <v>1097</v>
      </c>
      <c r="H35" s="3" t="s">
        <v>95</v>
      </c>
      <c r="I35" s="3" t="s">
        <v>94</v>
      </c>
    </row>
    <row r="36" spans="1:9" x14ac:dyDescent="0.3">
      <c r="A36" s="3" t="s">
        <v>73</v>
      </c>
      <c r="B36" s="3">
        <v>1</v>
      </c>
      <c r="C36" s="3">
        <v>48</v>
      </c>
      <c r="D36" s="3" t="s">
        <v>11</v>
      </c>
      <c r="E36" s="3" t="s">
        <v>33</v>
      </c>
      <c r="F36" s="3" t="s">
        <v>66</v>
      </c>
      <c r="G36" s="3">
        <v>2487</v>
      </c>
      <c r="H36" s="3" t="s">
        <v>95</v>
      </c>
      <c r="I36" s="3" t="s">
        <v>94</v>
      </c>
    </row>
    <row r="37" spans="1:9" x14ac:dyDescent="0.3">
      <c r="A37" s="3" t="s">
        <v>36</v>
      </c>
      <c r="B37" s="3">
        <v>1</v>
      </c>
      <c r="C37" s="3">
        <v>19</v>
      </c>
      <c r="D37" s="3" t="s">
        <v>11</v>
      </c>
      <c r="E37" s="3" t="s">
        <v>33</v>
      </c>
      <c r="F37" s="3" t="s">
        <v>33</v>
      </c>
      <c r="G37" s="3">
        <v>4505</v>
      </c>
      <c r="H37" s="3" t="s">
        <v>95</v>
      </c>
      <c r="I37" s="3" t="s">
        <v>94</v>
      </c>
    </row>
    <row r="38" spans="1:9" x14ac:dyDescent="0.3">
      <c r="A38" s="3" t="s">
        <v>90</v>
      </c>
      <c r="B38" s="3">
        <v>1</v>
      </c>
      <c r="C38" s="3">
        <v>1440</v>
      </c>
      <c r="D38" s="3" t="s">
        <v>11</v>
      </c>
      <c r="E38" s="3" t="s">
        <v>82</v>
      </c>
      <c r="F38" s="3" t="s">
        <v>89</v>
      </c>
      <c r="G38" s="3">
        <v>2754</v>
      </c>
      <c r="H38" s="3" t="s">
        <v>95</v>
      </c>
      <c r="I38" s="3" t="s">
        <v>94</v>
      </c>
    </row>
    <row r="39" spans="1:9" x14ac:dyDescent="0.3">
      <c r="A39" s="3" t="s">
        <v>31</v>
      </c>
      <c r="B39" s="3">
        <v>1</v>
      </c>
      <c r="C39" s="3">
        <v>1651</v>
      </c>
      <c r="D39" s="3" t="s">
        <v>11</v>
      </c>
      <c r="E39" s="3" t="s">
        <v>11</v>
      </c>
      <c r="F39" s="3" t="s">
        <v>11</v>
      </c>
      <c r="G39" s="3">
        <v>2292</v>
      </c>
      <c r="H39" s="3" t="s">
        <v>95</v>
      </c>
      <c r="I39" s="3" t="s">
        <v>94</v>
      </c>
    </row>
    <row r="40" spans="1:9" x14ac:dyDescent="0.3">
      <c r="A40" s="3" t="s">
        <v>83</v>
      </c>
      <c r="B40" s="3">
        <v>1</v>
      </c>
      <c r="C40" s="3">
        <v>52</v>
      </c>
      <c r="D40" s="3" t="s">
        <v>11</v>
      </c>
      <c r="E40" s="3" t="s">
        <v>82</v>
      </c>
      <c r="F40" s="3" t="s">
        <v>82</v>
      </c>
      <c r="G40" s="3">
        <v>1627</v>
      </c>
      <c r="H40" s="3" t="s">
        <v>95</v>
      </c>
      <c r="I40" s="3" t="s">
        <v>94</v>
      </c>
    </row>
    <row r="41" spans="1:9" x14ac:dyDescent="0.3">
      <c r="A41" s="3" t="s">
        <v>61</v>
      </c>
      <c r="B41" s="3">
        <v>1</v>
      </c>
      <c r="C41" s="3">
        <v>38</v>
      </c>
      <c r="D41" s="3" t="s">
        <v>11</v>
      </c>
      <c r="E41" s="3" t="s">
        <v>33</v>
      </c>
      <c r="F41" s="3" t="s">
        <v>54</v>
      </c>
      <c r="G41" s="3">
        <v>1617</v>
      </c>
      <c r="H41" s="3" t="s">
        <v>95</v>
      </c>
      <c r="I41" s="3" t="s">
        <v>94</v>
      </c>
    </row>
    <row r="42" spans="1:9" x14ac:dyDescent="0.3">
      <c r="A42" s="3" t="s">
        <v>37</v>
      </c>
      <c r="B42" s="3">
        <v>1</v>
      </c>
      <c r="C42" s="3">
        <v>20</v>
      </c>
      <c r="D42" s="3" t="s">
        <v>11</v>
      </c>
      <c r="E42" s="3" t="s">
        <v>33</v>
      </c>
      <c r="F42" s="3" t="s">
        <v>33</v>
      </c>
      <c r="G42" s="3">
        <v>4450</v>
      </c>
      <c r="H42" s="3" t="s">
        <v>95</v>
      </c>
      <c r="I42" s="3" t="s">
        <v>94</v>
      </c>
    </row>
    <row r="43" spans="1:9" x14ac:dyDescent="0.3">
      <c r="A43" s="3" t="s">
        <v>97</v>
      </c>
      <c r="B43" s="3">
        <v>1</v>
      </c>
      <c r="C43" s="3">
        <v>1696</v>
      </c>
      <c r="D43" s="3" t="s">
        <v>11</v>
      </c>
      <c r="E43" s="3" t="s">
        <v>11</v>
      </c>
      <c r="F43" s="3" t="s">
        <v>11</v>
      </c>
      <c r="G43" s="3">
        <v>989</v>
      </c>
      <c r="H43" s="3" t="s">
        <v>95</v>
      </c>
      <c r="I43" s="3" t="s">
        <v>96</v>
      </c>
    </row>
    <row r="44" spans="1:9" x14ac:dyDescent="0.3">
      <c r="A44" s="3" t="s">
        <v>78</v>
      </c>
      <c r="B44" s="3">
        <v>1</v>
      </c>
      <c r="C44" s="3">
        <v>1582</v>
      </c>
      <c r="D44" s="3" t="s">
        <v>11</v>
      </c>
      <c r="E44" s="3" t="s">
        <v>33</v>
      </c>
      <c r="F44" s="3" t="s">
        <v>33</v>
      </c>
      <c r="G44" s="3">
        <v>1032</v>
      </c>
      <c r="H44" s="3" t="s">
        <v>95</v>
      </c>
      <c r="I44" s="3" t="s">
        <v>94</v>
      </c>
    </row>
    <row r="45" spans="1:9" x14ac:dyDescent="0.3">
      <c r="A45" s="3" t="s">
        <v>84</v>
      </c>
      <c r="B45" s="3">
        <v>1</v>
      </c>
      <c r="C45" s="3">
        <v>53</v>
      </c>
      <c r="D45" s="3" t="s">
        <v>11</v>
      </c>
      <c r="E45" s="3" t="s">
        <v>82</v>
      </c>
      <c r="F45" s="3" t="s">
        <v>82</v>
      </c>
      <c r="G45" s="3">
        <v>4017</v>
      </c>
      <c r="H45" s="3" t="s">
        <v>95</v>
      </c>
      <c r="I45" s="3" t="s">
        <v>94</v>
      </c>
    </row>
    <row r="46" spans="1:9" x14ac:dyDescent="0.3">
      <c r="A46" s="3" t="s">
        <v>40</v>
      </c>
      <c r="B46" s="3">
        <v>1</v>
      </c>
      <c r="C46" s="3">
        <v>21</v>
      </c>
      <c r="D46" s="3" t="s">
        <v>11</v>
      </c>
      <c r="E46" s="3" t="s">
        <v>33</v>
      </c>
      <c r="F46" s="3" t="s">
        <v>33</v>
      </c>
      <c r="G46" s="3">
        <v>2469</v>
      </c>
      <c r="H46" s="3" t="s">
        <v>95</v>
      </c>
      <c r="I46" s="3" t="s">
        <v>94</v>
      </c>
    </row>
    <row r="47" spans="1:9" x14ac:dyDescent="0.3">
      <c r="A47" s="3" t="s">
        <v>41</v>
      </c>
      <c r="B47" s="3">
        <v>1</v>
      </c>
      <c r="C47" s="3">
        <v>22</v>
      </c>
      <c r="D47" s="3" t="s">
        <v>11</v>
      </c>
      <c r="E47" s="3" t="s">
        <v>33</v>
      </c>
      <c r="F47" s="3" t="s">
        <v>33</v>
      </c>
      <c r="G47" s="3">
        <v>1581</v>
      </c>
      <c r="H47" s="3" t="s">
        <v>95</v>
      </c>
      <c r="I47" s="3" t="s">
        <v>94</v>
      </c>
    </row>
    <row r="48" spans="1:9" x14ac:dyDescent="0.3">
      <c r="A48" s="3" t="s">
        <v>88</v>
      </c>
      <c r="B48" s="3">
        <v>1</v>
      </c>
      <c r="C48" s="3">
        <v>1367</v>
      </c>
      <c r="D48" s="3" t="s">
        <v>11</v>
      </c>
      <c r="E48" s="3" t="s">
        <v>82</v>
      </c>
      <c r="F48" s="3" t="s">
        <v>89</v>
      </c>
      <c r="G48" s="3">
        <v>4044</v>
      </c>
      <c r="H48" s="3" t="s">
        <v>95</v>
      </c>
      <c r="I48" s="3" t="s">
        <v>94</v>
      </c>
    </row>
    <row r="49" spans="1:9" x14ac:dyDescent="0.3">
      <c r="A49" s="3" t="s">
        <v>43</v>
      </c>
      <c r="B49" s="3">
        <v>1</v>
      </c>
      <c r="C49" s="3">
        <v>24</v>
      </c>
      <c r="D49" s="3" t="s">
        <v>11</v>
      </c>
      <c r="E49" s="3" t="s">
        <v>33</v>
      </c>
      <c r="F49" s="3" t="s">
        <v>33</v>
      </c>
      <c r="G49" s="3">
        <v>5699</v>
      </c>
      <c r="H49" s="3" t="s">
        <v>95</v>
      </c>
      <c r="I49" s="3" t="s">
        <v>94</v>
      </c>
    </row>
    <row r="50" spans="1:9" x14ac:dyDescent="0.3">
      <c r="A50" s="3" t="s">
        <v>80</v>
      </c>
      <c r="B50" s="3">
        <v>1</v>
      </c>
      <c r="C50" s="3">
        <v>1650</v>
      </c>
      <c r="D50" s="3" t="s">
        <v>11</v>
      </c>
      <c r="E50" s="3" t="s">
        <v>33</v>
      </c>
      <c r="F50" s="3" t="s">
        <v>33</v>
      </c>
      <c r="G50" s="3">
        <v>1412</v>
      </c>
      <c r="H50" s="3" t="s">
        <v>95</v>
      </c>
      <c r="I50" s="3" t="s">
        <v>94</v>
      </c>
    </row>
    <row r="51" spans="1:9" x14ac:dyDescent="0.3">
      <c r="A51" s="3" t="s">
        <v>74</v>
      </c>
      <c r="B51" s="3">
        <v>1</v>
      </c>
      <c r="C51" s="3">
        <v>49</v>
      </c>
      <c r="D51" s="3" t="s">
        <v>11</v>
      </c>
      <c r="E51" s="3" t="s">
        <v>33</v>
      </c>
      <c r="F51" s="3" t="s">
        <v>66</v>
      </c>
      <c r="G51" s="3">
        <v>3484</v>
      </c>
      <c r="H51" s="3" t="s">
        <v>95</v>
      </c>
      <c r="I51" s="3" t="s">
        <v>94</v>
      </c>
    </row>
    <row r="52" spans="1:9" x14ac:dyDescent="0.3">
      <c r="A52" s="3" t="s">
        <v>44</v>
      </c>
      <c r="B52" s="3">
        <v>1</v>
      </c>
      <c r="C52" s="3">
        <v>26</v>
      </c>
      <c r="D52" s="3" t="s">
        <v>11</v>
      </c>
      <c r="E52" s="3" t="s">
        <v>33</v>
      </c>
      <c r="F52" s="3" t="s">
        <v>33</v>
      </c>
      <c r="G52" s="3">
        <v>8502</v>
      </c>
      <c r="H52" s="3" t="s">
        <v>95</v>
      </c>
      <c r="I52" s="3" t="s">
        <v>94</v>
      </c>
    </row>
    <row r="53" spans="1:9" x14ac:dyDescent="0.3">
      <c r="A53" s="3" t="s">
        <v>62</v>
      </c>
      <c r="B53" s="3">
        <v>1</v>
      </c>
      <c r="C53" s="3">
        <v>39</v>
      </c>
      <c r="D53" s="3" t="s">
        <v>11</v>
      </c>
      <c r="E53" s="3" t="s">
        <v>33</v>
      </c>
      <c r="F53" s="3" t="s">
        <v>54</v>
      </c>
      <c r="G53" s="3">
        <v>1434</v>
      </c>
      <c r="H53" s="3" t="s">
        <v>95</v>
      </c>
      <c r="I53" s="3" t="s">
        <v>94</v>
      </c>
    </row>
    <row r="54" spans="1:9" x14ac:dyDescent="0.3">
      <c r="A54" s="3" t="s">
        <v>63</v>
      </c>
      <c r="B54" s="3">
        <v>1</v>
      </c>
      <c r="C54" s="3">
        <v>40</v>
      </c>
      <c r="D54" s="3" t="s">
        <v>11</v>
      </c>
      <c r="E54" s="3" t="s">
        <v>33</v>
      </c>
      <c r="F54" s="3" t="s">
        <v>54</v>
      </c>
      <c r="G54" s="3">
        <v>1217</v>
      </c>
      <c r="H54" s="3" t="s">
        <v>95</v>
      </c>
      <c r="I54" s="3" t="s">
        <v>94</v>
      </c>
    </row>
    <row r="55" spans="1:9" x14ac:dyDescent="0.3">
      <c r="A55" s="3" t="s">
        <v>64</v>
      </c>
      <c r="B55" s="3">
        <v>1</v>
      </c>
      <c r="C55" s="3">
        <v>41</v>
      </c>
      <c r="D55" s="3" t="s">
        <v>11</v>
      </c>
      <c r="E55" s="3" t="s">
        <v>33</v>
      </c>
      <c r="F55" s="3" t="s">
        <v>54</v>
      </c>
      <c r="G55" s="3">
        <v>1503</v>
      </c>
      <c r="H55" s="3" t="s">
        <v>95</v>
      </c>
      <c r="I55" s="3" t="s">
        <v>94</v>
      </c>
    </row>
  </sheetData>
  <autoFilter ref="B1:I55" xr:uid="{02481A85-7D19-403B-81BE-52468BF73FFD}"/>
  <pageMargins left="0.7" right="0.7" top="0.75" bottom="0.75" header="0.3" footer="0.3"/>
  <headerFooter>
    <oddHeader>&amp;C&amp;"Calibri"&amp;10&amp;KFF0000 CONFIDENCIAL&amp;1#_x000D_&amp;G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6C05-CB3A-4FF6-8B9D-8676E0B3A118}">
  <sheetPr>
    <tabColor theme="7"/>
  </sheetPr>
  <dimension ref="A1:S42"/>
  <sheetViews>
    <sheetView zoomScale="73" workbookViewId="0">
      <selection activeCell="P1" sqref="P1"/>
    </sheetView>
  </sheetViews>
  <sheetFormatPr defaultColWidth="11.44140625" defaultRowHeight="11.4" x14ac:dyDescent="0.2"/>
  <cols>
    <col min="1" max="1" width="28" style="9" customWidth="1"/>
    <col min="2" max="2" width="29.6640625" style="9" customWidth="1"/>
    <col min="3" max="3" width="39.88671875" style="8" customWidth="1"/>
    <col min="4" max="4" width="18.5546875" style="10" customWidth="1"/>
    <col min="5" max="5" width="16" style="8" customWidth="1"/>
    <col min="6" max="6" width="17.5546875" style="8" customWidth="1"/>
    <col min="7" max="7" width="16.5546875" style="8" customWidth="1"/>
    <col min="8" max="8" width="16" style="8" customWidth="1"/>
    <col min="9" max="9" width="13" style="8" customWidth="1"/>
    <col min="10" max="10" width="12" style="9" customWidth="1"/>
    <col min="11" max="11" width="11" style="9" customWidth="1"/>
    <col min="12" max="12" width="11.6640625" style="8" customWidth="1"/>
    <col min="13" max="13" width="24.33203125" style="8" customWidth="1"/>
    <col min="14" max="14" width="26.109375" style="8" customWidth="1"/>
    <col min="15" max="15" width="37.88671875" style="8" customWidth="1"/>
    <col min="16" max="16" width="32.44140625" style="8" customWidth="1"/>
    <col min="17" max="17" width="16.109375" style="8" bestFit="1" customWidth="1"/>
    <col min="18" max="18" width="32.88671875" style="8" bestFit="1" customWidth="1"/>
    <col min="19" max="16384" width="11.44140625" style="8"/>
  </cols>
  <sheetData>
    <row r="1" spans="1:19" ht="35.25" customHeight="1" x14ac:dyDescent="0.2">
      <c r="A1" s="16" t="s">
        <v>197</v>
      </c>
      <c r="B1" s="18" t="s">
        <v>198</v>
      </c>
      <c r="C1" s="20" t="s">
        <v>3</v>
      </c>
      <c r="D1" s="18" t="s">
        <v>4</v>
      </c>
      <c r="E1" s="18" t="s">
        <v>5</v>
      </c>
      <c r="F1" s="18" t="s">
        <v>196</v>
      </c>
      <c r="G1" s="18" t="s">
        <v>195</v>
      </c>
      <c r="H1" s="18" t="s">
        <v>194</v>
      </c>
      <c r="I1" s="16" t="s">
        <v>193</v>
      </c>
      <c r="J1" s="16" t="s">
        <v>192</v>
      </c>
      <c r="K1" s="18" t="s">
        <v>191</v>
      </c>
      <c r="L1" s="19" t="s">
        <v>190</v>
      </c>
      <c r="M1" s="18" t="s">
        <v>189</v>
      </c>
      <c r="N1" s="18" t="s">
        <v>188</v>
      </c>
      <c r="O1" s="18" t="s">
        <v>187</v>
      </c>
    </row>
    <row r="2" spans="1:19" ht="19.5" customHeight="1" x14ac:dyDescent="0.2">
      <c r="A2" s="17" t="s">
        <v>132</v>
      </c>
      <c r="B2" s="16" t="s">
        <v>114</v>
      </c>
      <c r="C2" s="14" t="s">
        <v>108</v>
      </c>
      <c r="D2" s="17" t="s">
        <v>109</v>
      </c>
      <c r="E2" s="17" t="s">
        <v>109</v>
      </c>
      <c r="F2" s="17" t="s">
        <v>108</v>
      </c>
      <c r="G2" s="14" t="s">
        <v>136</v>
      </c>
      <c r="H2" s="14" t="s">
        <v>106</v>
      </c>
      <c r="I2" s="16" t="s">
        <v>105</v>
      </c>
      <c r="J2" s="15" t="s">
        <v>104</v>
      </c>
      <c r="K2" s="14" t="s">
        <v>103</v>
      </c>
      <c r="L2" s="13" t="s">
        <v>177</v>
      </c>
      <c r="M2" s="12"/>
      <c r="N2" s="13" t="s">
        <v>113</v>
      </c>
      <c r="O2" s="12"/>
    </row>
    <row r="3" spans="1:19" ht="14.4" x14ac:dyDescent="0.3">
      <c r="A3" s="17" t="s">
        <v>162</v>
      </c>
      <c r="B3" s="16" t="s">
        <v>114</v>
      </c>
      <c r="C3" s="14" t="s">
        <v>108</v>
      </c>
      <c r="D3" s="17" t="s">
        <v>109</v>
      </c>
      <c r="E3" s="17" t="s">
        <v>109</v>
      </c>
      <c r="F3" s="17" t="s">
        <v>108</v>
      </c>
      <c r="G3" s="14" t="s">
        <v>112</v>
      </c>
      <c r="H3" s="14" t="s">
        <v>106</v>
      </c>
      <c r="I3" s="16" t="s">
        <v>105</v>
      </c>
      <c r="J3" s="15" t="s">
        <v>104</v>
      </c>
      <c r="K3" s="14" t="s">
        <v>111</v>
      </c>
      <c r="L3" s="13" t="s">
        <v>102</v>
      </c>
      <c r="M3" s="12"/>
      <c r="N3" s="13" t="s">
        <v>101</v>
      </c>
      <c r="O3" s="12"/>
      <c r="Q3" s="39" t="s">
        <v>419</v>
      </c>
      <c r="R3" t="s">
        <v>420</v>
      </c>
      <c r="S3"/>
    </row>
    <row r="4" spans="1:19" ht="14.4" x14ac:dyDescent="0.3">
      <c r="A4" s="17" t="s">
        <v>146</v>
      </c>
      <c r="B4" s="16" t="s">
        <v>114</v>
      </c>
      <c r="C4" s="14" t="s">
        <v>108</v>
      </c>
      <c r="D4" s="17" t="s">
        <v>109</v>
      </c>
      <c r="E4" s="17" t="s">
        <v>109</v>
      </c>
      <c r="F4" s="17" t="s">
        <v>108</v>
      </c>
      <c r="G4" s="14" t="s">
        <v>112</v>
      </c>
      <c r="H4" s="14" t="s">
        <v>106</v>
      </c>
      <c r="I4" s="16" t="s">
        <v>105</v>
      </c>
      <c r="J4" s="15" t="s">
        <v>104</v>
      </c>
      <c r="K4" s="14" t="s">
        <v>111</v>
      </c>
      <c r="L4" s="13" t="s">
        <v>102</v>
      </c>
      <c r="M4" s="12"/>
      <c r="N4" s="13" t="s">
        <v>113</v>
      </c>
      <c r="O4" s="12"/>
      <c r="Q4" s="40" t="s">
        <v>109</v>
      </c>
      <c r="R4" s="55">
        <v>10</v>
      </c>
      <c r="S4"/>
    </row>
    <row r="5" spans="1:19" ht="14.4" x14ac:dyDescent="0.3">
      <c r="A5" s="17" t="s">
        <v>144</v>
      </c>
      <c r="B5" s="16" t="s">
        <v>114</v>
      </c>
      <c r="C5" s="14" t="s">
        <v>108</v>
      </c>
      <c r="D5" s="17" t="s">
        <v>109</v>
      </c>
      <c r="E5" s="17" t="s">
        <v>109</v>
      </c>
      <c r="F5" s="17" t="s">
        <v>108</v>
      </c>
      <c r="G5" s="14" t="s">
        <v>107</v>
      </c>
      <c r="H5" s="14" t="s">
        <v>106</v>
      </c>
      <c r="I5" s="16" t="s">
        <v>105</v>
      </c>
      <c r="J5" s="15" t="s">
        <v>104</v>
      </c>
      <c r="K5" s="14" t="s">
        <v>103</v>
      </c>
      <c r="L5" s="13" t="s">
        <v>183</v>
      </c>
      <c r="M5" s="12" t="s">
        <v>182</v>
      </c>
      <c r="N5" s="13" t="s">
        <v>113</v>
      </c>
      <c r="O5" s="12"/>
      <c r="Q5" s="40" t="s">
        <v>108</v>
      </c>
      <c r="R5" s="55">
        <v>4</v>
      </c>
      <c r="S5"/>
    </row>
    <row r="6" spans="1:19" ht="14.4" x14ac:dyDescent="0.3">
      <c r="A6" s="17" t="s">
        <v>140</v>
      </c>
      <c r="B6" s="16" t="s">
        <v>114</v>
      </c>
      <c r="C6" s="14" t="s">
        <v>108</v>
      </c>
      <c r="D6" s="17" t="s">
        <v>109</v>
      </c>
      <c r="E6" s="17" t="s">
        <v>109</v>
      </c>
      <c r="F6" s="17" t="s">
        <v>108</v>
      </c>
      <c r="G6" s="14" t="s">
        <v>107</v>
      </c>
      <c r="H6" s="14" t="s">
        <v>106</v>
      </c>
      <c r="I6" s="16" t="s">
        <v>105</v>
      </c>
      <c r="J6" s="15" t="s">
        <v>104</v>
      </c>
      <c r="K6" s="14" t="s">
        <v>103</v>
      </c>
      <c r="L6" s="13" t="s">
        <v>119</v>
      </c>
      <c r="M6" s="12"/>
      <c r="N6" s="13" t="s">
        <v>118</v>
      </c>
      <c r="O6" s="12"/>
      <c r="Q6" s="40" t="s">
        <v>129</v>
      </c>
      <c r="R6" s="55">
        <v>17</v>
      </c>
      <c r="S6"/>
    </row>
    <row r="7" spans="1:19" ht="14.4" x14ac:dyDescent="0.3">
      <c r="A7" s="17" t="s">
        <v>85</v>
      </c>
      <c r="B7" s="16" t="s">
        <v>114</v>
      </c>
      <c r="C7" s="14" t="s">
        <v>108</v>
      </c>
      <c r="D7" s="17" t="s">
        <v>109</v>
      </c>
      <c r="E7" s="17" t="s">
        <v>181</v>
      </c>
      <c r="F7" s="17" t="s">
        <v>108</v>
      </c>
      <c r="G7" s="14" t="s">
        <v>112</v>
      </c>
      <c r="H7" s="14" t="s">
        <v>106</v>
      </c>
      <c r="I7" s="16" t="s">
        <v>105</v>
      </c>
      <c r="J7" s="15" t="s">
        <v>104</v>
      </c>
      <c r="K7" s="14" t="s">
        <v>111</v>
      </c>
      <c r="L7" s="13" t="s">
        <v>178</v>
      </c>
      <c r="M7" s="12" t="s">
        <v>128</v>
      </c>
      <c r="N7" s="13" t="s">
        <v>116</v>
      </c>
      <c r="O7" s="12" t="s">
        <v>115</v>
      </c>
      <c r="Q7" s="40" t="s">
        <v>122</v>
      </c>
      <c r="R7" s="55">
        <v>2</v>
      </c>
      <c r="S7"/>
    </row>
    <row r="8" spans="1:19" ht="14.4" x14ac:dyDescent="0.3">
      <c r="A8" s="17" t="s">
        <v>175</v>
      </c>
      <c r="B8" s="16" t="s">
        <v>114</v>
      </c>
      <c r="C8" s="14" t="s">
        <v>108</v>
      </c>
      <c r="D8" s="17" t="s">
        <v>108</v>
      </c>
      <c r="E8" s="17" t="s">
        <v>108</v>
      </c>
      <c r="F8" s="17" t="s">
        <v>108</v>
      </c>
      <c r="G8" s="14" t="s">
        <v>107</v>
      </c>
      <c r="H8" s="14" t="s">
        <v>106</v>
      </c>
      <c r="I8" s="16" t="s">
        <v>105</v>
      </c>
      <c r="J8" s="15" t="s">
        <v>104</v>
      </c>
      <c r="K8" s="14" t="s">
        <v>103</v>
      </c>
      <c r="L8" s="13" t="s">
        <v>177</v>
      </c>
      <c r="M8" s="12" t="s">
        <v>176</v>
      </c>
      <c r="N8" s="13" t="s">
        <v>113</v>
      </c>
      <c r="O8" s="12"/>
      <c r="Q8" s="40" t="s">
        <v>206</v>
      </c>
      <c r="R8" s="55">
        <v>33</v>
      </c>
      <c r="S8"/>
    </row>
    <row r="9" spans="1:19" ht="14.4" x14ac:dyDescent="0.3">
      <c r="A9" s="17" t="s">
        <v>185</v>
      </c>
      <c r="B9" s="16" t="s">
        <v>114</v>
      </c>
      <c r="C9" s="14" t="s">
        <v>108</v>
      </c>
      <c r="D9" s="17" t="s">
        <v>108</v>
      </c>
      <c r="E9" s="17" t="s">
        <v>108</v>
      </c>
      <c r="F9" s="17" t="s">
        <v>108</v>
      </c>
      <c r="G9" s="14" t="s">
        <v>107</v>
      </c>
      <c r="H9" s="14" t="s">
        <v>106</v>
      </c>
      <c r="I9" s="16" t="s">
        <v>105</v>
      </c>
      <c r="J9" s="15" t="s">
        <v>104</v>
      </c>
      <c r="K9" s="14" t="s">
        <v>103</v>
      </c>
      <c r="L9" s="13" t="s">
        <v>102</v>
      </c>
      <c r="M9" s="12"/>
      <c r="N9" s="13" t="s">
        <v>101</v>
      </c>
      <c r="O9" s="12"/>
      <c r="Q9"/>
      <c r="R9"/>
      <c r="S9"/>
    </row>
    <row r="10" spans="1:19" ht="14.4" x14ac:dyDescent="0.3">
      <c r="A10" s="17" t="s">
        <v>139</v>
      </c>
      <c r="B10" s="16" t="s">
        <v>114</v>
      </c>
      <c r="C10" s="14" t="s">
        <v>108</v>
      </c>
      <c r="D10" s="17" t="s">
        <v>108</v>
      </c>
      <c r="E10" s="17" t="s">
        <v>108</v>
      </c>
      <c r="F10" s="17" t="s">
        <v>108</v>
      </c>
      <c r="G10" s="14" t="s">
        <v>107</v>
      </c>
      <c r="H10" s="14" t="s">
        <v>106</v>
      </c>
      <c r="I10" s="16" t="s">
        <v>105</v>
      </c>
      <c r="J10" s="15" t="s">
        <v>104</v>
      </c>
      <c r="K10" s="14" t="s">
        <v>103</v>
      </c>
      <c r="L10" s="13" t="s">
        <v>102</v>
      </c>
      <c r="M10" s="12"/>
      <c r="N10" s="13" t="s">
        <v>101</v>
      </c>
      <c r="O10" s="12"/>
      <c r="Q10"/>
      <c r="R10"/>
      <c r="S10"/>
    </row>
    <row r="11" spans="1:19" ht="14.4" x14ac:dyDescent="0.3">
      <c r="A11" s="17" t="s">
        <v>186</v>
      </c>
      <c r="B11" s="16" t="s">
        <v>114</v>
      </c>
      <c r="C11" s="14" t="s">
        <v>108</v>
      </c>
      <c r="D11" s="17" t="s">
        <v>109</v>
      </c>
      <c r="E11" s="17" t="s">
        <v>173</v>
      </c>
      <c r="F11" s="17" t="s">
        <v>108</v>
      </c>
      <c r="G11" s="14" t="s">
        <v>107</v>
      </c>
      <c r="H11" s="14" t="s">
        <v>106</v>
      </c>
      <c r="I11" s="16" t="s">
        <v>105</v>
      </c>
      <c r="J11" s="15" t="s">
        <v>104</v>
      </c>
      <c r="K11" s="14" t="s">
        <v>103</v>
      </c>
      <c r="L11" s="13" t="s">
        <v>102</v>
      </c>
      <c r="M11" s="12"/>
      <c r="N11" s="13" t="s">
        <v>118</v>
      </c>
      <c r="O11" s="12"/>
      <c r="Q11"/>
      <c r="R11"/>
      <c r="S11"/>
    </row>
    <row r="12" spans="1:19" ht="14.4" x14ac:dyDescent="0.3">
      <c r="A12" s="17" t="s">
        <v>180</v>
      </c>
      <c r="B12" s="16" t="s">
        <v>110</v>
      </c>
      <c r="C12" s="14" t="s">
        <v>108</v>
      </c>
      <c r="D12" s="17" t="s">
        <v>129</v>
      </c>
      <c r="E12" s="17" t="s">
        <v>129</v>
      </c>
      <c r="F12" s="17" t="s">
        <v>108</v>
      </c>
      <c r="G12" s="14" t="s">
        <v>136</v>
      </c>
      <c r="H12" s="14" t="s">
        <v>106</v>
      </c>
      <c r="I12" s="16" t="s">
        <v>105</v>
      </c>
      <c r="J12" s="15" t="s">
        <v>104</v>
      </c>
      <c r="K12" s="14" t="s">
        <v>103</v>
      </c>
      <c r="L12" s="13" t="s">
        <v>102</v>
      </c>
      <c r="M12" s="12"/>
      <c r="N12" s="13" t="s">
        <v>124</v>
      </c>
      <c r="O12" s="12" t="s">
        <v>131</v>
      </c>
      <c r="Q12"/>
      <c r="R12"/>
      <c r="S12"/>
    </row>
    <row r="13" spans="1:19" ht="14.4" x14ac:dyDescent="0.3">
      <c r="A13" s="17" t="s">
        <v>148</v>
      </c>
      <c r="B13" s="16" t="s">
        <v>114</v>
      </c>
      <c r="C13" s="14" t="s">
        <v>108</v>
      </c>
      <c r="D13" s="17" t="s">
        <v>129</v>
      </c>
      <c r="E13" s="12" t="s">
        <v>129</v>
      </c>
      <c r="F13" s="17" t="s">
        <v>108</v>
      </c>
      <c r="G13" s="14" t="s">
        <v>136</v>
      </c>
      <c r="H13" s="14" t="s">
        <v>106</v>
      </c>
      <c r="I13" s="16" t="s">
        <v>168</v>
      </c>
      <c r="J13" s="15" t="s">
        <v>104</v>
      </c>
      <c r="K13" s="14" t="s">
        <v>103</v>
      </c>
      <c r="L13" s="13" t="s">
        <v>102</v>
      </c>
      <c r="M13" s="12"/>
      <c r="N13" s="13" t="s">
        <v>165</v>
      </c>
      <c r="O13" s="12" t="s">
        <v>131</v>
      </c>
      <c r="Q13"/>
      <c r="R13"/>
      <c r="S13"/>
    </row>
    <row r="14" spans="1:19" ht="14.4" x14ac:dyDescent="0.3">
      <c r="A14" s="17" t="s">
        <v>142</v>
      </c>
      <c r="B14" s="16" t="s">
        <v>110</v>
      </c>
      <c r="C14" s="17" t="s">
        <v>108</v>
      </c>
      <c r="D14" s="17" t="s">
        <v>129</v>
      </c>
      <c r="E14" s="17" t="s">
        <v>129</v>
      </c>
      <c r="F14" s="17" t="s">
        <v>108</v>
      </c>
      <c r="G14" s="14" t="s">
        <v>136</v>
      </c>
      <c r="H14" s="14" t="s">
        <v>106</v>
      </c>
      <c r="I14" s="16" t="s">
        <v>168</v>
      </c>
      <c r="J14" s="15" t="s">
        <v>104</v>
      </c>
      <c r="K14" s="14" t="s">
        <v>103</v>
      </c>
      <c r="L14" s="13" t="s">
        <v>170</v>
      </c>
      <c r="M14" s="12"/>
      <c r="N14" s="13" t="s">
        <v>124</v>
      </c>
      <c r="O14" s="12" t="s">
        <v>169</v>
      </c>
      <c r="Q14"/>
      <c r="R14"/>
      <c r="S14"/>
    </row>
    <row r="15" spans="1:19" ht="14.4" x14ac:dyDescent="0.3">
      <c r="A15" s="17" t="s">
        <v>184</v>
      </c>
      <c r="B15" s="16" t="s">
        <v>110</v>
      </c>
      <c r="C15" s="14" t="s">
        <v>108</v>
      </c>
      <c r="D15" s="17" t="s">
        <v>129</v>
      </c>
      <c r="E15" s="12" t="s">
        <v>129</v>
      </c>
      <c r="F15" s="17" t="s">
        <v>108</v>
      </c>
      <c r="G15" s="14" t="s">
        <v>136</v>
      </c>
      <c r="H15" s="14" t="s">
        <v>106</v>
      </c>
      <c r="I15" s="16" t="s">
        <v>168</v>
      </c>
      <c r="J15" s="15" t="s">
        <v>104</v>
      </c>
      <c r="K15" s="14" t="s">
        <v>103</v>
      </c>
      <c r="L15" s="13" t="s">
        <v>102</v>
      </c>
      <c r="M15" s="12"/>
      <c r="N15" s="13" t="s">
        <v>167</v>
      </c>
      <c r="O15" s="12"/>
      <c r="Q15"/>
      <c r="R15"/>
      <c r="S15"/>
    </row>
    <row r="16" spans="1:19" ht="14.4" x14ac:dyDescent="0.3">
      <c r="A16" s="17" t="s">
        <v>125</v>
      </c>
      <c r="B16" s="16" t="s">
        <v>110</v>
      </c>
      <c r="C16" s="14" t="s">
        <v>108</v>
      </c>
      <c r="D16" s="17" t="s">
        <v>129</v>
      </c>
      <c r="E16" s="17" t="s">
        <v>129</v>
      </c>
      <c r="F16" s="17" t="s">
        <v>108</v>
      </c>
      <c r="G16" s="14" t="s">
        <v>107</v>
      </c>
      <c r="H16" s="14" t="s">
        <v>106</v>
      </c>
      <c r="I16" s="16" t="s">
        <v>105</v>
      </c>
      <c r="J16" s="15" t="s">
        <v>104</v>
      </c>
      <c r="K16" s="14" t="s">
        <v>103</v>
      </c>
      <c r="L16" s="13" t="s">
        <v>102</v>
      </c>
      <c r="M16" s="12"/>
      <c r="N16" s="13" t="s">
        <v>153</v>
      </c>
      <c r="O16" s="12" t="s">
        <v>131</v>
      </c>
      <c r="Q16"/>
      <c r="R16"/>
      <c r="S16"/>
    </row>
    <row r="17" spans="1:19" ht="14.4" x14ac:dyDescent="0.3">
      <c r="A17" s="17" t="s">
        <v>166</v>
      </c>
      <c r="B17" s="16" t="s">
        <v>110</v>
      </c>
      <c r="C17" s="17" t="s">
        <v>108</v>
      </c>
      <c r="D17" s="17" t="s">
        <v>129</v>
      </c>
      <c r="E17" s="17" t="s">
        <v>129</v>
      </c>
      <c r="F17" s="17" t="s">
        <v>108</v>
      </c>
      <c r="G17" s="14" t="s">
        <v>107</v>
      </c>
      <c r="H17" s="14" t="s">
        <v>106</v>
      </c>
      <c r="I17" s="16" t="s">
        <v>105</v>
      </c>
      <c r="J17" s="15" t="s">
        <v>104</v>
      </c>
      <c r="K17" s="14" t="s">
        <v>103</v>
      </c>
      <c r="L17" s="13" t="s">
        <v>102</v>
      </c>
      <c r="M17" s="12"/>
      <c r="N17" s="13" t="s">
        <v>171</v>
      </c>
      <c r="O17" s="12"/>
      <c r="Q17"/>
      <c r="R17"/>
      <c r="S17"/>
    </row>
    <row r="18" spans="1:19" ht="14.4" x14ac:dyDescent="0.3">
      <c r="A18" s="17" t="s">
        <v>160</v>
      </c>
      <c r="B18" s="16" t="s">
        <v>114</v>
      </c>
      <c r="C18" s="14" t="s">
        <v>108</v>
      </c>
      <c r="D18" s="17" t="s">
        <v>122</v>
      </c>
      <c r="E18" s="17" t="s">
        <v>122</v>
      </c>
      <c r="F18" s="17" t="s">
        <v>108</v>
      </c>
      <c r="G18" s="14" t="s">
        <v>112</v>
      </c>
      <c r="H18" s="14" t="s">
        <v>106</v>
      </c>
      <c r="I18" s="16" t="s">
        <v>105</v>
      </c>
      <c r="J18" s="15" t="s">
        <v>104</v>
      </c>
      <c r="K18" s="14" t="s">
        <v>111</v>
      </c>
      <c r="L18" s="13" t="s">
        <v>163</v>
      </c>
      <c r="M18" s="12"/>
      <c r="N18" s="13" t="s">
        <v>113</v>
      </c>
      <c r="O18" s="12"/>
      <c r="Q18"/>
      <c r="R18"/>
      <c r="S18"/>
    </row>
    <row r="19" spans="1:19" ht="14.4" x14ac:dyDescent="0.3">
      <c r="A19" s="17" t="s">
        <v>174</v>
      </c>
      <c r="B19" s="16" t="s">
        <v>114</v>
      </c>
      <c r="C19" s="14" t="s">
        <v>108</v>
      </c>
      <c r="D19" s="17" t="s">
        <v>122</v>
      </c>
      <c r="E19" s="17" t="s">
        <v>122</v>
      </c>
      <c r="F19" s="17" t="s">
        <v>108</v>
      </c>
      <c r="G19" s="14" t="s">
        <v>112</v>
      </c>
      <c r="H19" s="14" t="s">
        <v>106</v>
      </c>
      <c r="I19" s="16" t="s">
        <v>105</v>
      </c>
      <c r="J19" s="15" t="s">
        <v>104</v>
      </c>
      <c r="K19" s="14" t="s">
        <v>111</v>
      </c>
      <c r="L19" s="13" t="s">
        <v>102</v>
      </c>
      <c r="M19" s="12"/>
      <c r="N19" s="13" t="s">
        <v>118</v>
      </c>
      <c r="O19" s="12"/>
      <c r="Q19"/>
      <c r="R19"/>
      <c r="S19"/>
    </row>
    <row r="20" spans="1:19" ht="14.4" x14ac:dyDescent="0.3">
      <c r="A20" s="17" t="s">
        <v>161</v>
      </c>
      <c r="B20" s="16" t="s">
        <v>114</v>
      </c>
      <c r="C20" s="14" t="s">
        <v>108</v>
      </c>
      <c r="D20" s="17" t="s">
        <v>129</v>
      </c>
      <c r="E20" s="17" t="s">
        <v>159</v>
      </c>
      <c r="F20" s="17" t="s">
        <v>108</v>
      </c>
      <c r="G20" s="14" t="s">
        <v>112</v>
      </c>
      <c r="H20" s="14" t="s">
        <v>135</v>
      </c>
      <c r="I20" s="16" t="s">
        <v>105</v>
      </c>
      <c r="J20" s="15" t="s">
        <v>104</v>
      </c>
      <c r="K20" s="14" t="s">
        <v>111</v>
      </c>
      <c r="L20" s="13" t="s">
        <v>102</v>
      </c>
      <c r="M20" s="12"/>
      <c r="N20" s="13" t="s">
        <v>101</v>
      </c>
      <c r="O20" s="12"/>
      <c r="Q20"/>
      <c r="R20"/>
      <c r="S20"/>
    </row>
    <row r="21" spans="1:19" ht="14.4" x14ac:dyDescent="0.3">
      <c r="A21" s="17" t="s">
        <v>172</v>
      </c>
      <c r="B21" s="16" t="s">
        <v>114</v>
      </c>
      <c r="C21" s="14" t="s">
        <v>108</v>
      </c>
      <c r="D21" s="17" t="s">
        <v>129</v>
      </c>
      <c r="E21" s="17" t="s">
        <v>159</v>
      </c>
      <c r="F21" s="17" t="s">
        <v>108</v>
      </c>
      <c r="G21" s="14" t="s">
        <v>112</v>
      </c>
      <c r="H21" s="14" t="s">
        <v>135</v>
      </c>
      <c r="I21" s="16" t="s">
        <v>105</v>
      </c>
      <c r="J21" s="15" t="s">
        <v>104</v>
      </c>
      <c r="K21" s="14" t="s">
        <v>111</v>
      </c>
      <c r="L21" s="13" t="s">
        <v>102</v>
      </c>
      <c r="M21" s="12"/>
      <c r="N21" s="13" t="s">
        <v>113</v>
      </c>
      <c r="O21" s="12"/>
      <c r="Q21"/>
    </row>
    <row r="22" spans="1:19" ht="14.4" x14ac:dyDescent="0.3">
      <c r="A22" s="17" t="s">
        <v>138</v>
      </c>
      <c r="B22" s="16" t="s">
        <v>114</v>
      </c>
      <c r="C22" s="14" t="s">
        <v>108</v>
      </c>
      <c r="D22" s="17" t="s">
        <v>129</v>
      </c>
      <c r="E22" s="17" t="s">
        <v>159</v>
      </c>
      <c r="F22" s="17" t="s">
        <v>108</v>
      </c>
      <c r="G22" s="14" t="s">
        <v>112</v>
      </c>
      <c r="H22" s="14" t="s">
        <v>106</v>
      </c>
      <c r="I22" s="16" t="s">
        <v>105</v>
      </c>
      <c r="J22" s="15" t="s">
        <v>104</v>
      </c>
      <c r="K22" s="14" t="s">
        <v>111</v>
      </c>
      <c r="L22" s="13" t="s">
        <v>102</v>
      </c>
      <c r="M22" s="12"/>
      <c r="N22" s="13" t="s">
        <v>113</v>
      </c>
      <c r="O22" s="12"/>
      <c r="Q22"/>
    </row>
    <row r="23" spans="1:19" ht="14.4" x14ac:dyDescent="0.3">
      <c r="A23" s="17" t="s">
        <v>151</v>
      </c>
      <c r="B23" s="16" t="s">
        <v>114</v>
      </c>
      <c r="C23" s="14" t="s">
        <v>108</v>
      </c>
      <c r="D23" s="17" t="s">
        <v>129</v>
      </c>
      <c r="E23" s="17" t="s">
        <v>159</v>
      </c>
      <c r="F23" s="17" t="s">
        <v>108</v>
      </c>
      <c r="G23" s="14" t="s">
        <v>112</v>
      </c>
      <c r="H23" s="14" t="s">
        <v>135</v>
      </c>
      <c r="I23" s="16" t="s">
        <v>105</v>
      </c>
      <c r="J23" s="15" t="s">
        <v>104</v>
      </c>
      <c r="K23" s="14" t="s">
        <v>111</v>
      </c>
      <c r="L23" s="13" t="s">
        <v>102</v>
      </c>
      <c r="M23" s="12"/>
      <c r="N23" s="13" t="s">
        <v>101</v>
      </c>
      <c r="O23" s="12"/>
      <c r="Q23"/>
    </row>
    <row r="24" spans="1:19" ht="14.4" x14ac:dyDescent="0.3">
      <c r="A24" s="17" t="s">
        <v>158</v>
      </c>
      <c r="B24" s="16" t="s">
        <v>114</v>
      </c>
      <c r="C24" s="14" t="s">
        <v>108</v>
      </c>
      <c r="D24" s="17" t="s">
        <v>129</v>
      </c>
      <c r="E24" s="17" t="s">
        <v>150</v>
      </c>
      <c r="F24" s="17" t="s">
        <v>108</v>
      </c>
      <c r="G24" s="14" t="s">
        <v>136</v>
      </c>
      <c r="H24" s="14" t="s">
        <v>106</v>
      </c>
      <c r="I24" s="16" t="s">
        <v>105</v>
      </c>
      <c r="J24" s="15" t="s">
        <v>104</v>
      </c>
      <c r="K24" s="14" t="s">
        <v>103</v>
      </c>
      <c r="L24" s="13" t="s">
        <v>149</v>
      </c>
      <c r="M24" s="12"/>
      <c r="N24" s="13" t="s">
        <v>113</v>
      </c>
      <c r="O24" s="12"/>
      <c r="Q24"/>
    </row>
    <row r="25" spans="1:19" ht="14.4" x14ac:dyDescent="0.3">
      <c r="A25" s="17" t="s">
        <v>145</v>
      </c>
      <c r="B25" s="16" t="s">
        <v>114</v>
      </c>
      <c r="C25" s="14" t="s">
        <v>108</v>
      </c>
      <c r="D25" s="17" t="s">
        <v>129</v>
      </c>
      <c r="E25" s="17" t="s">
        <v>150</v>
      </c>
      <c r="F25" s="17" t="s">
        <v>108</v>
      </c>
      <c r="G25" s="14" t="s">
        <v>136</v>
      </c>
      <c r="H25" s="14" t="s">
        <v>106</v>
      </c>
      <c r="I25" s="16" t="s">
        <v>105</v>
      </c>
      <c r="J25" s="15" t="s">
        <v>104</v>
      </c>
      <c r="K25" s="14" t="s">
        <v>103</v>
      </c>
      <c r="L25" s="13" t="s">
        <v>102</v>
      </c>
      <c r="M25" s="12"/>
      <c r="N25" s="13" t="s">
        <v>113</v>
      </c>
      <c r="O25" s="12"/>
      <c r="Q25"/>
    </row>
    <row r="26" spans="1:19" ht="14.4" x14ac:dyDescent="0.3">
      <c r="A26" s="17" t="s">
        <v>143</v>
      </c>
      <c r="B26" s="16" t="s">
        <v>114</v>
      </c>
      <c r="C26" s="14" t="s">
        <v>108</v>
      </c>
      <c r="D26" s="17" t="s">
        <v>129</v>
      </c>
      <c r="E26" s="17" t="s">
        <v>150</v>
      </c>
      <c r="F26" s="17" t="s">
        <v>108</v>
      </c>
      <c r="G26" s="14" t="s">
        <v>136</v>
      </c>
      <c r="H26" s="14" t="s">
        <v>106</v>
      </c>
      <c r="I26" s="16" t="s">
        <v>105</v>
      </c>
      <c r="J26" s="15" t="s">
        <v>104</v>
      </c>
      <c r="K26" s="14" t="s">
        <v>103</v>
      </c>
      <c r="L26" s="13" t="s">
        <v>157</v>
      </c>
      <c r="M26" s="12"/>
      <c r="N26" s="13" t="s">
        <v>113</v>
      </c>
      <c r="O26" s="12"/>
      <c r="Q26"/>
    </row>
    <row r="27" spans="1:19" ht="14.4" x14ac:dyDescent="0.3">
      <c r="A27" s="17" t="s">
        <v>141</v>
      </c>
      <c r="B27" s="16" t="s">
        <v>114</v>
      </c>
      <c r="C27" s="14" t="s">
        <v>108</v>
      </c>
      <c r="D27" s="17" t="s">
        <v>129</v>
      </c>
      <c r="E27" s="17" t="s">
        <v>150</v>
      </c>
      <c r="F27" s="17" t="s">
        <v>108</v>
      </c>
      <c r="G27" s="14" t="s">
        <v>136</v>
      </c>
      <c r="H27" s="14" t="s">
        <v>106</v>
      </c>
      <c r="I27" s="16" t="s">
        <v>105</v>
      </c>
      <c r="J27" s="15" t="s">
        <v>104</v>
      </c>
      <c r="K27" s="14" t="s">
        <v>103</v>
      </c>
      <c r="L27" s="13" t="s">
        <v>155</v>
      </c>
      <c r="M27" s="12" t="s">
        <v>154</v>
      </c>
      <c r="N27" s="13" t="s">
        <v>153</v>
      </c>
      <c r="O27" s="12" t="s">
        <v>152</v>
      </c>
      <c r="Q27"/>
    </row>
    <row r="28" spans="1:19" ht="14.4" x14ac:dyDescent="0.3">
      <c r="A28" s="17" t="s">
        <v>130</v>
      </c>
      <c r="B28" s="16" t="s">
        <v>114</v>
      </c>
      <c r="C28" s="14" t="s">
        <v>108</v>
      </c>
      <c r="D28" s="17" t="s">
        <v>129</v>
      </c>
      <c r="E28" s="17" t="s">
        <v>134</v>
      </c>
      <c r="F28" s="17" t="s">
        <v>108</v>
      </c>
      <c r="G28" s="14" t="s">
        <v>107</v>
      </c>
      <c r="H28" s="14" t="s">
        <v>106</v>
      </c>
      <c r="I28" s="16" t="s">
        <v>105</v>
      </c>
      <c r="J28" s="15" t="s">
        <v>104</v>
      </c>
      <c r="K28" s="14" t="s">
        <v>103</v>
      </c>
      <c r="L28" s="13" t="s">
        <v>102</v>
      </c>
      <c r="M28" s="12"/>
      <c r="N28" s="13" t="s">
        <v>113</v>
      </c>
      <c r="O28" s="12"/>
      <c r="Q28"/>
    </row>
    <row r="29" spans="1:19" ht="14.4" x14ac:dyDescent="0.3">
      <c r="A29" s="17" t="s">
        <v>179</v>
      </c>
      <c r="B29" s="16" t="s">
        <v>114</v>
      </c>
      <c r="C29" s="14" t="s">
        <v>108</v>
      </c>
      <c r="D29" s="17" t="s">
        <v>129</v>
      </c>
      <c r="E29" s="17" t="s">
        <v>134</v>
      </c>
      <c r="F29" s="17" t="s">
        <v>108</v>
      </c>
      <c r="G29" s="14" t="s">
        <v>107</v>
      </c>
      <c r="H29" s="14" t="s">
        <v>106</v>
      </c>
      <c r="I29" s="16" t="s">
        <v>105</v>
      </c>
      <c r="J29" s="15" t="s">
        <v>104</v>
      </c>
      <c r="K29" s="14" t="s">
        <v>103</v>
      </c>
      <c r="L29" s="13" t="s">
        <v>102</v>
      </c>
      <c r="M29" s="12"/>
      <c r="N29" s="13" t="s">
        <v>118</v>
      </c>
      <c r="O29" s="12"/>
      <c r="Q29"/>
    </row>
    <row r="30" spans="1:19" ht="14.4" x14ac:dyDescent="0.3">
      <c r="A30" s="17" t="s">
        <v>137</v>
      </c>
      <c r="B30" s="16" t="s">
        <v>114</v>
      </c>
      <c r="C30" s="14" t="s">
        <v>108</v>
      </c>
      <c r="D30" s="17" t="s">
        <v>129</v>
      </c>
      <c r="E30" s="17" t="s">
        <v>133</v>
      </c>
      <c r="F30" s="17" t="s">
        <v>108</v>
      </c>
      <c r="G30" s="14" t="s">
        <v>112</v>
      </c>
      <c r="H30" s="14" t="s">
        <v>106</v>
      </c>
      <c r="I30" s="16" t="s">
        <v>105</v>
      </c>
      <c r="J30" s="15" t="s">
        <v>104</v>
      </c>
      <c r="K30" s="14" t="s">
        <v>111</v>
      </c>
      <c r="L30" s="13" t="s">
        <v>123</v>
      </c>
      <c r="M30" s="12"/>
      <c r="N30" s="13" t="s">
        <v>113</v>
      </c>
      <c r="O30" s="12"/>
      <c r="Q30"/>
    </row>
    <row r="31" spans="1:19" ht="14.4" x14ac:dyDescent="0.3">
      <c r="A31" s="17" t="s">
        <v>147</v>
      </c>
      <c r="B31" s="16" t="s">
        <v>114</v>
      </c>
      <c r="C31" s="14" t="s">
        <v>108</v>
      </c>
      <c r="D31" s="17" t="s">
        <v>108</v>
      </c>
      <c r="E31" s="17" t="s">
        <v>126</v>
      </c>
      <c r="F31" s="17" t="s">
        <v>108</v>
      </c>
      <c r="G31" s="14" t="s">
        <v>107</v>
      </c>
      <c r="H31" s="14" t="s">
        <v>106</v>
      </c>
      <c r="I31" s="16" t="s">
        <v>105</v>
      </c>
      <c r="J31" s="15" t="s">
        <v>104</v>
      </c>
      <c r="K31" s="14" t="s">
        <v>103</v>
      </c>
      <c r="L31" s="13" t="s">
        <v>127</v>
      </c>
      <c r="M31" s="12"/>
      <c r="N31" s="13" t="s">
        <v>101</v>
      </c>
      <c r="O31" s="12"/>
      <c r="Q31"/>
    </row>
    <row r="32" spans="1:19" ht="14.4" x14ac:dyDescent="0.3">
      <c r="A32" s="17" t="s">
        <v>156</v>
      </c>
      <c r="B32" s="16" t="s">
        <v>114</v>
      </c>
      <c r="C32" s="14" t="s">
        <v>108</v>
      </c>
      <c r="D32" s="17" t="s">
        <v>109</v>
      </c>
      <c r="E32" s="17" t="s">
        <v>117</v>
      </c>
      <c r="F32" s="17" t="s">
        <v>108</v>
      </c>
      <c r="G32" s="14" t="s">
        <v>107</v>
      </c>
      <c r="H32" s="14" t="s">
        <v>106</v>
      </c>
      <c r="I32" s="16" t="s">
        <v>105</v>
      </c>
      <c r="J32" s="15" t="s">
        <v>104</v>
      </c>
      <c r="K32" s="14" t="s">
        <v>103</v>
      </c>
      <c r="L32" s="13" t="s">
        <v>121</v>
      </c>
      <c r="M32" s="12" t="s">
        <v>120</v>
      </c>
      <c r="N32" s="13" t="s">
        <v>101</v>
      </c>
      <c r="O32" s="12"/>
      <c r="Q32"/>
    </row>
    <row r="33" spans="1:17" ht="14.4" x14ac:dyDescent="0.3">
      <c r="A33" s="17" t="s">
        <v>164</v>
      </c>
      <c r="B33" s="16" t="s">
        <v>114</v>
      </c>
      <c r="C33" s="14" t="s">
        <v>108</v>
      </c>
      <c r="D33" s="17" t="s">
        <v>109</v>
      </c>
      <c r="E33" s="17" t="s">
        <v>117</v>
      </c>
      <c r="F33" s="17" t="s">
        <v>108</v>
      </c>
      <c r="G33" s="14" t="s">
        <v>112</v>
      </c>
      <c r="H33" s="14" t="s">
        <v>106</v>
      </c>
      <c r="I33" s="16" t="s">
        <v>105</v>
      </c>
      <c r="J33" s="15" t="s">
        <v>104</v>
      </c>
      <c r="K33" s="14" t="s">
        <v>111</v>
      </c>
      <c r="L33" s="13" t="s">
        <v>119</v>
      </c>
      <c r="M33" s="12"/>
      <c r="N33" s="13" t="s">
        <v>118</v>
      </c>
      <c r="O33" s="12"/>
      <c r="Q33"/>
    </row>
    <row r="34" spans="1:17" ht="14.4" x14ac:dyDescent="0.3">
      <c r="A34" s="17" t="s">
        <v>61</v>
      </c>
      <c r="B34" s="16" t="s">
        <v>114</v>
      </c>
      <c r="C34" s="14" t="s">
        <v>108</v>
      </c>
      <c r="D34" s="17" t="s">
        <v>109</v>
      </c>
      <c r="E34" s="17" t="s">
        <v>117</v>
      </c>
      <c r="F34" s="17" t="s">
        <v>108</v>
      </c>
      <c r="G34" s="14" t="s">
        <v>107</v>
      </c>
      <c r="H34" s="14" t="s">
        <v>106</v>
      </c>
      <c r="I34" s="16" t="s">
        <v>105</v>
      </c>
      <c r="J34" s="15" t="s">
        <v>104</v>
      </c>
      <c r="K34" s="14" t="s">
        <v>103</v>
      </c>
      <c r="L34" s="13" t="s">
        <v>102</v>
      </c>
      <c r="M34" s="12"/>
      <c r="N34" s="13" t="s">
        <v>113</v>
      </c>
      <c r="O34" s="12"/>
      <c r="Q34"/>
    </row>
    <row r="35" spans="1:17" ht="14.4" x14ac:dyDescent="0.3">
      <c r="Q35"/>
    </row>
    <row r="36" spans="1:17" ht="14.4" x14ac:dyDescent="0.3">
      <c r="Q36"/>
    </row>
    <row r="37" spans="1:17" ht="14.4" x14ac:dyDescent="0.3">
      <c r="Q37"/>
    </row>
    <row r="38" spans="1:17" ht="14.4" x14ac:dyDescent="0.3">
      <c r="Q38"/>
    </row>
    <row r="39" spans="1:17" ht="14.4" x14ac:dyDescent="0.3">
      <c r="Q39"/>
    </row>
    <row r="40" spans="1:17" ht="14.4" x14ac:dyDescent="0.3">
      <c r="Q40"/>
    </row>
    <row r="41" spans="1:17" ht="14.4" x14ac:dyDescent="0.3">
      <c r="Q41"/>
    </row>
    <row r="42" spans="1:17" x14ac:dyDescent="0.2">
      <c r="A42" s="11"/>
    </row>
  </sheetData>
  <autoFilter ref="A1:O34" xr:uid="{D59B6C05-CB3A-4FF6-8B9D-8676E0B3A118}"/>
  <sortState xmlns:xlrd2="http://schemas.microsoft.com/office/spreadsheetml/2017/richdata2" ref="A2:O34">
    <sortCondition ref="A1:A34"/>
  </sortState>
  <conditionalFormatting sqref="B35:B1048576">
    <cfRule type="duplicateValues" dxfId="1" priority="1"/>
  </conditionalFormatting>
  <conditionalFormatting sqref="B41:B1048576">
    <cfRule type="duplicateValues" dxfId="0" priority="6"/>
  </conditionalFormatting>
  <conditionalFormatting sqref="J2:J34">
    <cfRule type="iconSet" priority="47">
      <iconSet iconSet="3Symbols2" showValue="0">
        <cfvo type="percent" val="0"/>
        <cfvo type="percent" val="33"/>
        <cfvo type="percent" val="67"/>
      </iconSet>
    </cfRule>
    <cfRule type="iconSet" priority="48">
      <iconSet iconSet="3Symbols2" showValue="0">
        <cfvo type="percent" val="0"/>
        <cfvo type="percent" val="33"/>
        <cfvo type="num" val="80"/>
      </iconSet>
    </cfRule>
  </conditionalFormatting>
  <pageMargins left="0.23622047244094491" right="0.23622047244094491" top="0.74803149606299213" bottom="0.74803149606299213" header="0.31496062992125984" footer="0.31496062992125984"/>
  <pageSetup scale="80"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EFD016-CF88-4482-B233-F19CA428B2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Principal</vt:lpstr>
      <vt:lpstr>BD_PuntosDeAcceso</vt:lpstr>
      <vt:lpstr>BD_DataTransferida</vt:lpstr>
      <vt:lpstr>BD_Sesiones</vt:lpstr>
      <vt:lpstr>BD_Meduca</vt:lpstr>
      <vt:lpstr>BD_Meduca!Print_Titles</vt:lpstr>
      <vt:lpstr>BD_PuntosDeAcceso!Print_Titles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Hernandez Reyes</dc:creator>
  <cp:lastModifiedBy>Juan Diego Hernandez Reyes</cp:lastModifiedBy>
  <dcterms:created xsi:type="dcterms:W3CDTF">2025-09-09T17:58:55Z</dcterms:created>
  <dcterms:modified xsi:type="dcterms:W3CDTF">2025-12-12T16:33:19Z</dcterms:modified>
</cp:coreProperties>
</file>